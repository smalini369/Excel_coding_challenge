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6" activeTab="12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  <sheet name="Sheet2" sheetId="11" r:id="rId10"/>
    <sheet name="TASK8" sheetId="12" r:id="rId11"/>
    <sheet name="TASK9" sheetId="13" r:id="rId12"/>
    <sheet name="TASK10" sheetId="14" r:id="rId13"/>
  </sheets>
  <definedNames>
    <definedName name="ExternalData_1" localSheetId="9" hidden="1">Sheet2!$A$1:$I$100</definedName>
  </definedNames>
  <calcPr calcId="162913"/>
</workbook>
</file>

<file path=xl/calcChain.xml><?xml version="1.0" encoding="utf-8"?>
<calcChain xmlns="http://schemas.openxmlformats.org/spreadsheetml/2006/main">
  <c r="E136" i="13" l="1"/>
  <c r="E1048574" i="13" s="1"/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1" i="6"/>
  <c r="K20" i="6"/>
  <c r="K19" i="6"/>
  <c r="K16" i="6"/>
  <c r="K15" i="6"/>
  <c r="E153" i="6"/>
  <c r="E136" i="6"/>
  <c r="E156" i="6" s="1"/>
  <c r="E152" i="6" l="1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10" description="Connection to the 'Table10' query in the workbook." type="5" refreshedVersion="6" background="1" saveData="1">
    <dbPr connection="Provider=Microsoft.Mashup.OleDb.1;Data Source=$Workbook$;Location=Table10;Extended Properties=&quot;&quot;" command="SELECT * FROM [Table10]"/>
  </connection>
</connections>
</file>

<file path=xl/sharedStrings.xml><?xml version="1.0" encoding="utf-8"?>
<sst xmlns="http://schemas.openxmlformats.org/spreadsheetml/2006/main" count="10086" uniqueCount="392">
  <si>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</si>
  <si>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</si>
  <si>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</si>
  <si>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</si>
  <si>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</si>
  <si>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</si>
  <si>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</si>
  <si>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</si>
  <si>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</si>
  <si>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</si>
  <si>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</si>
  <si>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</si>
  <si>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</si>
  <si>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</si>
  <si>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</si>
  <si>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</si>
  <si>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</si>
  <si>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</si>
  <si>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</si>
  <si>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</si>
  <si>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</si>
  <si>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</si>
  <si>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</si>
  <si>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</si>
  <si>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</si>
  <si>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</si>
  <si>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</si>
  <si>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</si>
  <si>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</si>
  <si>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</si>
  <si>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</si>
  <si>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</si>
  <si>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</si>
  <si>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</si>
  <si>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</si>
  <si>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</si>
  <si>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</si>
  <si>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</si>
  <si>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</si>
  <si>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</si>
  <si>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</si>
  <si>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</si>
  <si>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</si>
  <si>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</si>
  <si>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</si>
  <si>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</si>
  <si>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</si>
  <si>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</si>
  <si>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</si>
  <si>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</si>
  <si>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</si>
  <si>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</si>
  <si>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</si>
  <si>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</si>
  <si>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</si>
  <si>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</si>
  <si>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</si>
  <si>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</si>
  <si>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</si>
  <si>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</si>
  <si>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</si>
  <si>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</si>
  <si>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</si>
  <si>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</si>
  <si>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</si>
  <si>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</si>
  <si>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</si>
  <si>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</si>
  <si>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</si>
  <si>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</si>
  <si>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</si>
  <si>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</si>
  <si>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</si>
  <si>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</si>
  <si>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</si>
  <si>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</si>
  <si>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</si>
  <si>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</si>
  <si>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</si>
  <si>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</si>
  <si>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</si>
  <si>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</si>
  <si>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</si>
  <si>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</si>
  <si>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</si>
  <si>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</si>
  <si>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</si>
  <si>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</si>
  <si>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</si>
  <si>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</si>
  <si>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</si>
  <si>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</si>
  <si>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</si>
  <si>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</si>
  <si>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</si>
  <si>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</si>
  <si>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</si>
  <si>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</si>
  <si>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</si>
  <si>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</si>
  <si>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</si>
  <si>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</si>
  <si>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</si>
  <si>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</si>
  <si>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</si>
  <si>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</si>
  <si>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</si>
  <si>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</si>
  <si>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</si>
  <si>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</si>
  <si>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</si>
  <si>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</si>
  <si>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</si>
  <si>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</si>
  <si>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</si>
  <si>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</si>
  <si>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</si>
  <si>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</si>
  <si>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</si>
  <si>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</si>
  <si>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</si>
  <si>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</si>
  <si>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</si>
  <si>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</si>
  <si>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</si>
  <si>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</si>
  <si>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</si>
  <si>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</si>
  <si>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</si>
  <si>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</si>
  <si>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</si>
  <si>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</si>
  <si>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</si>
  <si>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</si>
  <si>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</si>
  <si>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</si>
  <si>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</si>
  <si>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</si>
  <si>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</si>
  <si>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</si>
  <si>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</si>
  <si>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</si>
  <si>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</si>
  <si>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</si>
  <si>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</si>
  <si>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</si>
  <si>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</si>
  <si>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</si>
  <si>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</si>
  <si>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</si>
  <si>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</si>
  <si>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</si>
  <si>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</si>
  <si>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</si>
  <si>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</si>
  <si>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</si>
  <si>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</si>
  <si>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</si>
  <si>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</si>
  <si>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</si>
  <si>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</si>
  <si>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</si>
  <si>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</si>
  <si>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</si>
  <si>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</si>
  <si>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</si>
  <si>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</si>
  <si>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</si>
  <si>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</si>
  <si>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</si>
  <si>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</si>
  <si>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</si>
  <si>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</si>
  <si>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</si>
  <si>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</si>
  <si>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</si>
  <si>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</si>
  <si>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</si>
  <si>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</si>
  <si>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</si>
  <si>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</si>
  <si>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</si>
  <si>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</si>
  <si>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</si>
  <si>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</si>
  <si>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</si>
  <si>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</si>
  <si>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</si>
  <si>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</si>
  <si>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</si>
  <si>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</si>
  <si>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</si>
  <si>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</si>
  <si>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</si>
  <si>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</si>
  <si>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</si>
  <si>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</si>
  <si>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</si>
  <si>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</si>
  <si>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</si>
  <si>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</si>
  <si>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</si>
  <si>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</si>
  <si>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</si>
  <si>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</si>
  <si>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</si>
  <si>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</si>
  <si>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</si>
  <si>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</si>
  <si>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</si>
  <si>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</si>
  <si>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</si>
  <si>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</si>
  <si>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</si>
  <si>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</si>
  <si>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</si>
  <si>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</si>
  <si>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</si>
  <si>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</si>
  <si>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</si>
  <si>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</si>
  <si>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</si>
  <si>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</si>
  <si>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</si>
  <si>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</si>
  <si>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</si>
  <si>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</si>
  <si>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</si>
  <si>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</si>
  <si>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</si>
  <si>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</si>
  <si>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</si>
  <si>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</si>
  <si>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</si>
  <si>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</si>
  <si>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</si>
  <si>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</si>
  <si>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</si>
  <si>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</si>
  <si>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</si>
  <si>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</si>
  <si>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</si>
  <si>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</si>
  <si>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</si>
  <si>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</si>
  <si>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</si>
  <si>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</si>
  <si>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</si>
  <si>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</si>
  <si>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</si>
  <si>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</si>
  <si>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</si>
  <si>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</si>
  <si>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</si>
  <si>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</si>
  <si>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</si>
  <si>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</si>
  <si>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</si>
  <si>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</si>
  <si>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</si>
  <si>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</si>
  <si>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</si>
  <si>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</si>
  <si>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</si>
  <si>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</si>
  <si>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</si>
  <si>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</si>
  <si>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</si>
  <si>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</si>
  <si>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</si>
  <si>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</si>
  <si>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</si>
  <si>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</si>
  <si>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</si>
  <si>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</si>
  <si>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</si>
  <si>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</si>
  <si>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</si>
  <si>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</si>
  <si>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</si>
  <si>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</si>
  <si>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</si>
  <si>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</si>
  <si>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</si>
  <si>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</si>
  <si>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</si>
  <si>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</si>
  <si>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</si>
  <si>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</si>
  <si>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</si>
  <si>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</si>
  <si>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</si>
  <si>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</si>
  <si>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</si>
  <si>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</si>
  <si>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</si>
  <si>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</si>
  <si>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</si>
  <si>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</si>
  <si>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</si>
  <si>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</si>
  <si>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</si>
  <si>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</si>
  <si>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</si>
  <si>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</si>
  <si>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</si>
  <si>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</si>
  <si>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</si>
  <si>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</si>
  <si>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</si>
  <si>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</si>
  <si>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</si>
  <si>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</si>
  <si>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</si>
  <si>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</si>
  <si>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</si>
  <si>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</si>
  <si>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</si>
  <si>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</si>
  <si>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</si>
  <si>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</si>
  <si>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</si>
  <si>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</si>
  <si>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</si>
  <si>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</si>
  <si>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</si>
  <si>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</si>
  <si>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</si>
  <si>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</si>
  <si>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</si>
  <si>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</si>
  <si>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</si>
  <si>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</si>
  <si>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</si>
  <si>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</si>
  <si>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</si>
  <si>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</si>
  <si>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</si>
  <si>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</si>
  <si>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</si>
  <si>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</si>
  <si>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</si>
  <si>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</si>
  <si>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</si>
  <si>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</si>
  <si>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</si>
  <si>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</si>
  <si>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</si>
  <si>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</si>
  <si>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</si>
  <si>
    <t/>
  </si>
  <si>
    <t>8/5/15 12:00AM</t>
  </si>
  <si>
    <t>12:00AM</t>
  </si>
  <si>
    <t>Flash Fill time</t>
  </si>
  <si>
    <t>Text to Column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</si>
  <si>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</si>
  <si>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</si>
  <si>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</si>
  <si>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</si>
  <si>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</si>
  <si>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</si>
  <si>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</si>
  <si>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</si>
  <si>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</si>
  <si>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</si>
  <si>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</si>
  <si>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</si>
  <si>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</si>
  <si>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</si>
  <si>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TRIM</t>
  </si>
  <si>
    <t>Works done</t>
  </si>
  <si>
    <t>1. Text to Column done on column B</t>
  </si>
  <si>
    <t>2. Flash Fill done on column G</t>
  </si>
  <si>
    <t>3. TRIM done on column D</t>
  </si>
  <si>
    <t>Works Done</t>
  </si>
  <si>
    <t xml:space="preserve">1. Highlighted the missing datas </t>
  </si>
  <si>
    <t>2. Removed all duplicates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</si>
  <si>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</si>
  <si>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</si>
  <si>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</si>
  <si>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</si>
  <si>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</si>
  <si>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</si>
  <si>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</si>
  <si>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</si>
  <si>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</si>
  <si>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</si>
  <si>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</si>
  <si>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</si>
  <si>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</si>
  <si>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Value1</t>
  </si>
  <si>
    <t>Value2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</si>
</sst>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[$-409]m/d/yy\ h:mm\ AM/PM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1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0" borderId="1" xfId="0" applyNumberFormat="1" applyFill="1" applyBorder="1" applyAlignment="1">
      <alignment horizontal="right" indent="1"/>
    </xf>
    <xf numFmtId="2" fontId="0" fillId="0" borderId="0" xfId="0" applyNumberFormat="1" applyAlignment="1">
      <alignment horizontal="right"/>
    </xf>
    <xf numFmtId="0" fontId="0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13" borderId="3" xfId="0" applyFont="1" applyFill="1" applyBorder="1" applyAlignment="1">
      <alignment horizontal="center" vertical="top"/>
    </xf>
    <xf numFmtId="0" fontId="0" fillId="13" borderId="0" xfId="0" applyFill="1"/>
    <xf numFmtId="0" fontId="1" fillId="13" borderId="3" xfId="0" applyFont="1" applyFill="1" applyBorder="1" applyAlignment="1">
      <alignment horizontal="center" vertical="center"/>
    </xf>
    <xf numFmtId="18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1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9" fillId="14" borderId="3" xfId="0" applyFont="1" applyFill="1" applyBorder="1" applyAlignment="1">
      <alignment horizontal="center" vertical="top"/>
    </xf>
    <xf numFmtId="0" fontId="19" fillId="14" borderId="4" xfId="0" applyFont="1" applyFill="1" applyBorder="1" applyAlignment="1">
      <alignment horizontal="center" vertical="top"/>
    </xf>
    <xf numFmtId="2" fontId="19" fillId="14" borderId="3" xfId="0" applyNumberFormat="1" applyFont="1" applyFill="1" applyBorder="1" applyAlignment="1">
      <alignment horizontal="center" vertical="top"/>
    </xf>
    <xf numFmtId="0" fontId="19" fillId="14" borderId="3" xfId="0" applyNumberFormat="1" applyFont="1" applyFill="1" applyBorder="1" applyAlignment="1">
      <alignment horizontal="center" vertical="center" wrapText="1"/>
    </xf>
    <xf numFmtId="0" fontId="0" fillId="6" borderId="0" xfId="0" applyFill="1"/>
    <xf numFmtId="2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/>
    </xf>
    <xf numFmtId="2" fontId="0" fillId="6" borderId="0" xfId="0" applyNumberFormat="1" applyFill="1"/>
    <xf numFmtId="2" fontId="0" fillId="6" borderId="0" xfId="0" applyNumberFormat="1" applyFill="1" applyAlignment="1">
      <alignment horizontal="center"/>
    </xf>
    <xf numFmtId="2" fontId="0" fillId="6" borderId="0" xfId="0" applyNumberFormat="1" applyFill="1" applyBorder="1"/>
    <xf numFmtId="0" fontId="18" fillId="15" borderId="0" xfId="0" applyFont="1" applyFill="1"/>
    <xf numFmtId="0" fontId="0" fillId="15" borderId="0" xfId="0" applyFill="1" applyAlignment="1">
      <alignment horizontal="center"/>
    </xf>
    <xf numFmtId="2" fontId="0" fillId="15" borderId="0" xfId="0" applyNumberFormat="1" applyFill="1" applyAlignment="1">
      <alignment horizontal="right"/>
    </xf>
    <xf numFmtId="0" fontId="0" fillId="15" borderId="0" xfId="0" applyFill="1" applyAlignment="1">
      <alignment horizontal="center" vertical="center"/>
    </xf>
    <xf numFmtId="0" fontId="20" fillId="16" borderId="4" xfId="0" applyFont="1" applyFill="1" applyBorder="1" applyAlignment="1">
      <alignment horizontal="center"/>
    </xf>
    <xf numFmtId="0" fontId="20" fillId="16" borderId="3" xfId="0" applyFont="1" applyFill="1" applyBorder="1" applyAlignment="1">
      <alignment horizontal="center"/>
    </xf>
    <xf numFmtId="0" fontId="20" fillId="16" borderId="15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1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6" xfId="0" applyFill="1" applyBorder="1" applyAlignment="1"/>
    <xf numFmtId="0" fontId="0" fillId="0" borderId="13" xfId="0" applyFill="1" applyBorder="1" applyAlignment="1"/>
    <xf numFmtId="2" fontId="0" fillId="0" borderId="1" xfId="0" applyNumberFormat="1" applyFill="1" applyBorder="1" applyAlignment="1"/>
    <xf numFmtId="2" fontId="0" fillId="0" borderId="11" xfId="0" applyNumberFormat="1" applyFill="1" applyBorder="1" applyAlignment="1"/>
  </cellXfs>
  <cellStyles count="2">
    <cellStyle name="Heading 1" xfId="1" builtinId="16"/>
    <cellStyle name="Normal" xfId="0" builtinId="0"/>
  </cellStyles>
  <dxfs count="265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6" tint="0.5999938962981048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6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>
          <fgColor indexed="64"/>
          <bgColor rgb="FF92D050"/>
        </patternFill>
      </fill>
    </dxf>
    <dxf>
      <numFmt numFmtId="23" formatCode="h:mm\ AM/PM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65" formatCode="[$-409]m/d/yy\ h:mm\ AM/PM;@"/>
      <alignment horizontal="center" vertical="center" textRotation="0" wrapText="0" indent="0" justifyLastLine="0" shrinkToFit="0" readingOrder="0"/>
    </dxf>
    <dxf>
      <numFmt numFmtId="2" formatCode="0.00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19"/>
      <queryTableField id="2" name="Name" tableColumnId="20"/>
      <queryTableField id="3" name="Department" tableColumnId="21"/>
      <queryTableField id="4" name="Country" tableColumnId="22"/>
      <queryTableField id="5" name="Salary by Department" tableColumnId="23"/>
      <queryTableField id="6" name="Salary by Country" tableColumnId="24"/>
      <queryTableField id="7" name="Gender" tableColumnId="25"/>
      <queryTableField id="8" name="Performance Rating" tableColumnId="26"/>
      <queryTableField id="9" name="Email id" tableColumnId="2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153" totalsRowCount="1" headerRowDxfId="264" headerRowBorderDxfId="263" tableBorderDxfId="262">
  <autoFilter ref="A1:H152"/>
  <tableColumns count="8">
    <tableColumn id="1" name="Employee ID"/>
    <tableColumn id="2" name="Name"/>
    <tableColumn id="3" name="Department"/>
    <tableColumn id="4" name="Country"/>
    <tableColumn id="5" name="Salary" dataDxfId="261" totalsRowDxfId="260"/>
    <tableColumn id="6" name="Performance Rating" dataDxfId="259" totalsRowDxfId="258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257" headerRowBorderDxfId="256" tableBorderDxfId="255">
  <autoFilter ref="A1:H151"/>
  <tableColumns count="8">
    <tableColumn id="1" name="Employee ID"/>
    <tableColumn id="2" name="Name"/>
    <tableColumn id="3" name="Department"/>
    <tableColumn id="4" name="Country"/>
    <tableColumn id="5" name="Salary" dataDxfId="254" totalsRowDxfId="253"/>
    <tableColumn id="6" name="Performance Rating" dataDxfId="252" totalsRowDxfId="251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250" headerRowBorderDxfId="249" tableBorderDxfId="248">
  <autoFilter ref="J3:K9"/>
  <tableColumns count="2">
    <tableColumn id="1" name="TO FIND" dataDxfId="247"/>
    <tableColumn id="2" name=" RESULT FOR SALARY COLUMN" dataDxfId="246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245" headerRowBorderDxfId="244" tableBorderDxfId="243">
  <autoFilter ref="A1:I151"/>
  <tableColumns count="9">
    <tableColumn id="1" name="Employee ID"/>
    <tableColumn id="2" name="Name"/>
    <tableColumn id="3" name="Department"/>
    <tableColumn id="4" name="Country"/>
    <tableColumn id="5" name="Salary" dataDxfId="242" totalsRowDxfId="241"/>
    <tableColumn id="6" name="Performance Rating" dataDxfId="240" totalsRowDxfId="239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238" headerRowBorderDxfId="237" tableBorderDxfId="236">
  <autoFilter ref="J3:K9"/>
  <tableColumns count="2">
    <tableColumn id="1" name="TO FIND" dataDxfId="235"/>
    <tableColumn id="2" name=" RESULT FOR SALARY COLUMN" dataDxfId="234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233" headerRowBorderDxfId="232" tableBorderDxfId="231">
  <autoFilter ref="A1:N151"/>
  <tableColumns count="14">
    <tableColumn id="1" name="Employee ID"/>
    <tableColumn id="2" name="Name"/>
    <tableColumn id="3" name="Department"/>
    <tableColumn id="4" name="Country"/>
    <tableColumn id="5" name="Salary" dataDxfId="230" totalsRowDxfId="229"/>
    <tableColumn id="6" name="Performance Rating" dataDxfId="228" totalsRowDxfId="227"/>
    <tableColumn id="7" name="Gender"/>
    <tableColumn id="8" name="Email"/>
    <tableColumn id="9" name="LEFT B2,4" dataDxfId="226">
      <calculatedColumnFormula>LEFT(B2,4)</calculatedColumnFormula>
    </tableColumn>
    <tableColumn id="10" name="RIGHT B2,4" dataDxfId="225">
      <calculatedColumnFormula>RIGHT(B2,4)</calculatedColumnFormula>
    </tableColumn>
    <tableColumn id="11" name="UPPER B2" dataDxfId="224">
      <calculatedColumnFormula>UPPER(B2)</calculatedColumnFormula>
    </tableColumn>
    <tableColumn id="12" name="LOWER B2" dataDxfId="223">
      <calculatedColumnFormula>LOWER(B2)</calculatedColumnFormula>
    </tableColumn>
    <tableColumn id="13" name="PROPER B2" dataDxfId="222">
      <calculatedColumnFormula>PROPER(B2)</calculatedColumnFormula>
    </tableColumn>
    <tableColumn id="14" name="MID A2" dataDxfId="221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220" headerRowBorderDxfId="219" tableBorderDxfId="218" totalsRowBorderDxfId="217">
  <autoFilter ref="A1:I151"/>
  <tableColumns count="9">
    <tableColumn id="1" name="Employee ID" dataDxfId="216"/>
    <tableColumn id="2" name="Name" dataDxfId="215"/>
    <tableColumn id="3" name="Department" dataDxfId="214"/>
    <tableColumn id="4" name="Country" dataDxfId="213"/>
    <tableColumn id="5" name="Salary" dataDxfId="212"/>
    <tableColumn id="6" name="Date of Joining" dataDxfId="211"/>
    <tableColumn id="7" name="Performance Rating" dataDxfId="210"/>
    <tableColumn id="8" name="Gender" dataDxfId="209"/>
    <tableColumn id="9" name="Email" dataDxfId="208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207" headerRowBorderDxfId="206" tableBorderDxfId="205" totalsRowBorderDxfId="204">
  <autoFilter ref="A1:O100"/>
  <tableColumns count="15">
    <tableColumn id="1" name="Employee ID" dataDxfId="203"/>
    <tableColumn id="2" name="Name" dataDxfId="202"/>
    <tableColumn id="3" name="Department" dataDxfId="201"/>
    <tableColumn id="4" name="Country" dataDxfId="200"/>
    <tableColumn id="5" name="Salary" dataDxfId="199"/>
    <tableColumn id="6" name="Date of JoininG" dataDxfId="198"/>
    <tableColumn id="7" name="Performance Rating" dataDxfId="197"/>
    <tableColumn id="8" name="Gender" dataDxfId="196"/>
    <tableColumn id="9" name="Email" dataDxfId="195"/>
    <tableColumn id="12" name="Name cleaned" dataDxfId="194">
      <calculatedColumnFormula>IF(ISBLANK(B2),"UNKNOWN",B2)</calculatedColumnFormula>
    </tableColumn>
    <tableColumn id="14" name="Department2" dataDxfId="193">
      <calculatedColumnFormula>IF(ISBLANK(C2),"Unknown",C2)</calculatedColumnFormula>
    </tableColumn>
    <tableColumn id="15" name="Country2" dataDxfId="192">
      <calculatedColumnFormula>IF(ISBLANK(D2),"unknown",D2)</calculatedColumnFormula>
    </tableColumn>
    <tableColumn id="13" name="Gender cleaned" dataDxfId="191">
      <calculatedColumnFormula>PROPER(H2)</calculatedColumnFormula>
    </tableColumn>
    <tableColumn id="16" name="Department wise Salary" dataDxfId="190">
      <calculatedColumnFormula>IF(E2="N/A",AVERAGEIF(Table79[Department],Table79[[#This Row],[Department]],Table79[Salary]),E2)</calculatedColumnFormula>
    </tableColumn>
    <tableColumn id="17" name="Country wise salary" dataDxfId="189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headerRowDxfId="188" dataDxfId="187">
  <autoFilter ref="A1:I100"/>
  <tableColumns count="9">
    <tableColumn id="1" name="Employee ID" dataDxfId="186"/>
    <tableColumn id="2" name="Name" dataDxfId="185"/>
    <tableColumn id="3" name="Department" dataDxfId="184"/>
    <tableColumn id="4" name="Country" dataDxfId="183"/>
    <tableColumn id="5" name="Salary by Department" dataDxfId="182"/>
    <tableColumn id="6" name="Salary by Country" dataDxfId="181"/>
    <tableColumn id="7" name="Gender" dataDxfId="180"/>
    <tableColumn id="11" name="Email id" dataDxfId="179"/>
    <tableColumn id="12" name="Performance Rating" dataDxfId="178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9" name="Table10_2" displayName="Table10_2" ref="A1:I100" tableType="queryTable" totalsRowShown="0">
  <autoFilter ref="A1:I100"/>
  <tableColumns count="9">
    <tableColumn id="19" uniqueName="19" name="Employee ID" queryTableFieldId="1" dataDxfId="177"/>
    <tableColumn id="20" uniqueName="20" name="Name" queryTableFieldId="2" dataDxfId="176"/>
    <tableColumn id="21" uniqueName="21" name="Department" queryTableFieldId="3" dataDxfId="175"/>
    <tableColumn id="22" uniqueName="22" name="Country" queryTableFieldId="4" dataDxfId="174"/>
    <tableColumn id="23" uniqueName="23" name="Salary by Department" queryTableFieldId="5" dataDxfId="173"/>
    <tableColumn id="24" uniqueName="24" name="Salary by Country" queryTableFieldId="6" dataDxfId="172"/>
    <tableColumn id="25" uniqueName="25" name="Gender" queryTableFieldId="7" dataDxfId="171"/>
    <tableColumn id="26" uniqueName="26" name="Performance Rating" queryTableFieldId="8" dataDxfId="170"/>
    <tableColumn id="27" uniqueName="27" name="Email id" queryTableFieldId="9" dataDxfId="16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151" totalsRowShown="0" headerRowDxfId="168" headerRowBorderDxfId="167" tableBorderDxfId="166">
  <autoFilter ref="A1:L151"/>
  <tableColumns count="12">
    <tableColumn id="1" name="Employee ID"/>
    <tableColumn id="2" name="Name"/>
    <tableColumn id="14" name="Text to Column"/>
    <tableColumn id="3" name="Department"/>
    <tableColumn id="4" name="Country"/>
    <tableColumn id="5" name="Salary" dataDxfId="165"/>
    <tableColumn id="6" name="Date of Joining" dataDxfId="164"/>
    <tableColumn id="7" name="Performance Rating"/>
    <tableColumn id="8" name="Gender"/>
    <tableColumn id="9" name="Email"/>
    <tableColumn id="10" name="Flash Fill time" dataDxfId="163"/>
    <tableColumn id="11" name="TRIM" dataDxfId="162">
      <calculatedColumnFormula>TRIM(D2)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313" displayName="Table1313" ref="A1:H151" totalsRowShown="0" headerRowDxfId="161" dataDxfId="159" headerRowBorderDxfId="160" tableBorderDxfId="158">
  <autoFilter ref="A1:H151"/>
  <tableColumns count="8">
    <tableColumn id="1" name="Employee ID" dataDxfId="157"/>
    <tableColumn id="2" name="Name" dataDxfId="156"/>
    <tableColumn id="3" name="Department" dataDxfId="155"/>
    <tableColumn id="4" name="Country" dataDxfId="154"/>
    <tableColumn id="5" name="Salary" dataDxfId="153" totalsRowDxfId="152"/>
    <tableColumn id="6" name="Performance Rating" dataDxfId="151" totalsRowDxfId="150"/>
    <tableColumn id="7" name="Gender" dataDxfId="149"/>
    <tableColumn id="8" name="Email" dataDxfId="148"/>
  </tableColumns>
  <tableStyleInfo name="TableStyleMedium24" showFirstColumn="0" showLastColumn="0" showRowStripes="0" showColumnStripes="1"/>
</table>
</file>

<file path=xl/tables/table13.xml><?xml version="1.0" encoding="utf-8"?>
<table xmlns="http://schemas.openxmlformats.org/spreadsheetml/2006/main" id="13" name="Table1014" displayName="Table1014" ref="A1:I100" totalsRowShown="0" headerRowDxfId="147" dataDxfId="146">
  <autoFilter ref="A1:I100"/>
  <tableColumns count="9">
    <tableColumn id="1" name="Employee ID" dataDxfId="145"/>
    <tableColumn id="2" name="Name" dataDxfId="144"/>
    <tableColumn id="3" name="Department" dataDxfId="143"/>
    <tableColumn id="4" name="Country" dataDxfId="142"/>
    <tableColumn id="5" name="Salary by Department" dataDxfId="141"/>
    <tableColumn id="6" name="Salary by Country" dataDxfId="140"/>
    <tableColumn id="7" name="Gender" dataDxfId="139"/>
    <tableColumn id="11" name="Email id" dataDxfId="138"/>
    <tableColumn id="12" name="Performance Rating" dataDxfId="137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K3:N16" totalsRowShown="0" headerRowDxfId="1" dataDxfId="136" headerRowBorderDxfId="6" tableBorderDxfId="7" totalsRowBorderDxfId="5">
  <autoFilter ref="K3:N16"/>
  <tableColumns count="4">
    <tableColumn id="1" name="Salary by Department" dataDxfId="4"/>
    <tableColumn id="2" name="Value1" dataDxfId="0"/>
    <tableColumn id="3" name="Salary by Country" dataDxfId="3"/>
    <tableColumn id="4" name="Value2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cols>
    <col min="6" max="6" width="17.81640625" bestFit="1" customWidth="1"/>
  </cols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135" priority="5">
      <formula>LEN(TRIM(B1))=0</formula>
    </cfRule>
    <cfRule type="containsBlanks" dxfId="134" priority="6">
      <formula>LEN(TRIM(B1))=0</formula>
    </cfRule>
  </conditionalFormatting>
  <conditionalFormatting sqref="H1:H1048576">
    <cfRule type="containsText" dxfId="133" priority="1" operator="containsText" text="unknown">
      <formula>NOT(ISERROR(SEARCH("unknown",H1)))</formula>
    </cfRule>
    <cfRule type="containsText" dxfId="132" priority="2" operator="containsText" text="unknown">
      <formula>NOT(ISERROR(SEARCH("unknown",H1)))</formula>
    </cfRule>
    <cfRule type="duplicateValues" dxfId="131" priority="4"/>
  </conditionalFormatting>
  <conditionalFormatting sqref="K10">
    <cfRule type="containsText" dxfId="130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129" priority="19">
      <formula>LEN(TRIM(B1))=0</formula>
    </cfRule>
    <cfRule type="containsBlanks" dxfId="128" priority="20">
      <formula>LEN(TRIM(B1))=0</formula>
    </cfRule>
    <cfRule type="timePeriod" dxfId="127" priority="24" timePeriod="yesterday">
      <formula>FLOOR(B1,1)=TODAY()-1</formula>
    </cfRule>
    <cfRule type="containsBlanks" dxfId="126" priority="25">
      <formula>LEN(TRIM(B1))=0</formula>
    </cfRule>
  </conditionalFormatting>
  <conditionalFormatting sqref="C1:C151 C359:C1048576">
    <cfRule type="containsBlanks" dxfId="125" priority="22">
      <formula>LEN(TRIM(C1))=0</formula>
    </cfRule>
    <cfRule type="containsBlanks" dxfId="124" priority="23">
      <formula>LEN(TRIM(C1))=0</formula>
    </cfRule>
  </conditionalFormatting>
  <conditionalFormatting sqref="D1:D151 D359:D1048576">
    <cfRule type="containsBlanks" dxfId="123" priority="21">
      <formula>LEN(TRIM(D1))=0</formula>
    </cfRule>
  </conditionalFormatting>
  <conditionalFormatting sqref="E1:E151 E359:E1048576">
    <cfRule type="containsText" dxfId="122" priority="13" operator="containsText" text="N/A">
      <formula>NOT(ISERROR(SEARCH("N/A",E1)))</formula>
    </cfRule>
    <cfRule type="containsBlanks" dxfId="121" priority="18">
      <formula>LEN(TRIM(E1))=0</formula>
    </cfRule>
  </conditionalFormatting>
  <conditionalFormatting sqref="F1:F151 F359:F1048576">
    <cfRule type="containsBlanks" dxfId="120" priority="17">
      <formula>LEN(TRIM(F1))=0</formula>
    </cfRule>
  </conditionalFormatting>
  <conditionalFormatting sqref="G1:G151 G359:G1048576">
    <cfRule type="containsText" dxfId="119" priority="4" operator="containsText" text="other">
      <formula>NOT(ISERROR(SEARCH("other",G1)))</formula>
    </cfRule>
    <cfRule type="containsText" dxfId="118" priority="5" operator="containsText" text="other">
      <formula>NOT(ISERROR(SEARCH("other",G1)))</formula>
    </cfRule>
    <cfRule type="containsText" dxfId="117" priority="6" operator="containsText" text="others">
      <formula>NOT(ISERROR(SEARCH("others",G1)))</formula>
    </cfRule>
    <cfRule type="containsText" dxfId="116" priority="7" operator="containsText" text="others">
      <formula>NOT(ISERROR(SEARCH("others",G1)))</formula>
    </cfRule>
    <cfRule type="containsText" dxfId="115" priority="8" operator="containsText" text="others">
      <formula>NOT(ISERROR(SEARCH("others",G1)))</formula>
    </cfRule>
    <cfRule type="containsText" dxfId="114" priority="9" operator="containsText" text="female">
      <formula>NOT(ISERROR(SEARCH("female",G1)))</formula>
    </cfRule>
    <cfRule type="containsText" dxfId="113" priority="10" operator="containsText" text="male">
      <formula>NOT(ISERROR(SEARCH("male",G1)))</formula>
    </cfRule>
    <cfRule type="containsText" dxfId="112" priority="11" operator="containsText" text="unknown">
      <formula>NOT(ISERROR(SEARCH("unknown",G1)))</formula>
    </cfRule>
    <cfRule type="cellIs" dxfId="111" priority="12" operator="greaterThan">
      <formula>"unknown"</formula>
    </cfRule>
    <cfRule type="containsBlanks" dxfId="110" priority="16">
      <formula>LEN(TRIM(G1))=0</formula>
    </cfRule>
  </conditionalFormatting>
  <conditionalFormatting sqref="H1:H151 H359:H1048576">
    <cfRule type="containsText" dxfId="109" priority="2" operator="containsText" text="invalid_email">
      <formula>NOT(ISERROR(SEARCH("invalid_email",H1)))</formula>
    </cfRule>
    <cfRule type="containsText" dxfId="108" priority="3" operator="containsText" text="invalid_email">
      <formula>NOT(ISERROR(SEARCH("invalid_email",H1)))</formula>
    </cfRule>
    <cfRule type="containsBlanks" dxfId="107" priority="14">
      <formula>LEN(TRIM(H1))=0</formula>
    </cfRule>
    <cfRule type="containsBlanks" dxfId="106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workbookViewId="0">
      <selection activeCell="F15" sqref="F15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105" priority="18">
      <formula>LEN(TRIM(B1))=0</formula>
    </cfRule>
    <cfRule type="containsBlanks" dxfId="104" priority="19">
      <formula>LEN(TRIM(B1))=0</formula>
    </cfRule>
    <cfRule type="timePeriod" dxfId="103" priority="23" timePeriod="yesterday">
      <formula>FLOOR(B1,1)=TODAY()-1</formula>
    </cfRule>
    <cfRule type="containsBlanks" dxfId="102" priority="24">
      <formula>LEN(TRIM(B1))=0</formula>
    </cfRule>
  </conditionalFormatting>
  <conditionalFormatting sqref="C1:C151 C357:C1048576">
    <cfRule type="containsBlanks" dxfId="101" priority="21">
      <formula>LEN(TRIM(C1))=0</formula>
    </cfRule>
    <cfRule type="containsBlanks" dxfId="100" priority="22">
      <formula>LEN(TRIM(C1))=0</formula>
    </cfRule>
  </conditionalFormatting>
  <conditionalFormatting sqref="D1:D151 D357:D1048576">
    <cfRule type="containsBlanks" dxfId="99" priority="20">
      <formula>LEN(TRIM(D1))=0</formula>
    </cfRule>
  </conditionalFormatting>
  <conditionalFormatting sqref="E1:E151 E357:E1048576">
    <cfRule type="containsText" dxfId="98" priority="12" operator="containsText" text="N/A">
      <formula>NOT(ISERROR(SEARCH("N/A",E1)))</formula>
    </cfRule>
    <cfRule type="containsBlanks" dxfId="97" priority="17">
      <formula>LEN(TRIM(E1))=0</formula>
    </cfRule>
  </conditionalFormatting>
  <conditionalFormatting sqref="F1:F151 F357:F1048576">
    <cfRule type="containsBlanks" dxfId="96" priority="16">
      <formula>LEN(TRIM(F1))=0</formula>
    </cfRule>
  </conditionalFormatting>
  <conditionalFormatting sqref="G1:G151 G357:G1048576">
    <cfRule type="containsText" dxfId="95" priority="3" operator="containsText" text="other">
      <formula>NOT(ISERROR(SEARCH("other",G1)))</formula>
    </cfRule>
    <cfRule type="containsText" dxfId="94" priority="4" operator="containsText" text="other">
      <formula>NOT(ISERROR(SEARCH("other",G1)))</formula>
    </cfRule>
    <cfRule type="containsText" dxfId="93" priority="5" operator="containsText" text="others">
      <formula>NOT(ISERROR(SEARCH("others",G1)))</formula>
    </cfRule>
    <cfRule type="containsText" dxfId="92" priority="6" operator="containsText" text="others">
      <formula>NOT(ISERROR(SEARCH("others",G1)))</formula>
    </cfRule>
    <cfRule type="containsText" dxfId="91" priority="7" operator="containsText" text="others">
      <formula>NOT(ISERROR(SEARCH("others",G1)))</formula>
    </cfRule>
    <cfRule type="containsText" dxfId="90" priority="8" operator="containsText" text="female">
      <formula>NOT(ISERROR(SEARCH("female",G1)))</formula>
    </cfRule>
    <cfRule type="containsText" dxfId="89" priority="9" operator="containsText" text="male">
      <formula>NOT(ISERROR(SEARCH("male",G1)))</formula>
    </cfRule>
    <cfRule type="containsText" dxfId="88" priority="10" operator="containsText" text="unknown">
      <formula>NOT(ISERROR(SEARCH("unknown",G1)))</formula>
    </cfRule>
    <cfRule type="cellIs" dxfId="87" priority="11" operator="greaterThan">
      <formula>"unknown"</formula>
    </cfRule>
    <cfRule type="containsBlanks" dxfId="86" priority="15">
      <formula>LEN(TRIM(G1))=0</formula>
    </cfRule>
  </conditionalFormatting>
  <conditionalFormatting sqref="H1:H151 H357:H1048576">
    <cfRule type="containsText" dxfId="85" priority="1" operator="containsText" text="invalid_email">
      <formula>NOT(ISERROR(SEARCH("invalid_email",H1)))</formula>
    </cfRule>
    <cfRule type="containsText" dxfId="84" priority="2" operator="containsText" text="invalid_email">
      <formula>NOT(ISERROR(SEARCH("invalid_email",H1)))</formula>
    </cfRule>
    <cfRule type="containsBlanks" dxfId="83" priority="13">
      <formula>LEN(TRIM(H1))=0</formula>
    </cfRule>
    <cfRule type="containsBlanks" dxfId="82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D13" workbookViewId="0">
      <selection activeCell="K19" sqref="K19:K2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 s="16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 s="16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 s="16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81" priority="18">
      <formula>LEN(TRIM(B1))=0</formula>
    </cfRule>
    <cfRule type="containsBlanks" dxfId="80" priority="19">
      <formula>LEN(TRIM(B1))=0</formula>
    </cfRule>
    <cfRule type="timePeriod" dxfId="79" priority="23" timePeriod="yesterday">
      <formula>FLOOR(B1,1)=TODAY()-1</formula>
    </cfRule>
    <cfRule type="containsBlanks" dxfId="78" priority="24">
      <formula>LEN(TRIM(B1))=0</formula>
    </cfRule>
  </conditionalFormatting>
  <conditionalFormatting sqref="C1:C151 C357:C1048576">
    <cfRule type="containsBlanks" dxfId="77" priority="21">
      <formula>LEN(TRIM(C1))=0</formula>
    </cfRule>
    <cfRule type="containsBlanks" dxfId="76" priority="22">
      <formula>LEN(TRIM(C1))=0</formula>
    </cfRule>
  </conditionalFormatting>
  <conditionalFormatting sqref="D1:D151 D357:D1048576">
    <cfRule type="containsBlanks" dxfId="75" priority="20">
      <formula>LEN(TRIM(D1))=0</formula>
    </cfRule>
  </conditionalFormatting>
  <conditionalFormatting sqref="E1:E151 E357:E1048576">
    <cfRule type="containsText" dxfId="74" priority="12" operator="containsText" text="N/A">
      <formula>NOT(ISERROR(SEARCH("N/A",E1)))</formula>
    </cfRule>
    <cfRule type="containsBlanks" dxfId="73" priority="17">
      <formula>LEN(TRIM(E1))=0</formula>
    </cfRule>
  </conditionalFormatting>
  <conditionalFormatting sqref="F1:F151 F357:F1048576">
    <cfRule type="containsBlanks" dxfId="72" priority="16">
      <formula>LEN(TRIM(F1))=0</formula>
    </cfRule>
  </conditionalFormatting>
  <conditionalFormatting sqref="G1:G151 G357:G1048576">
    <cfRule type="containsText" dxfId="71" priority="3" operator="containsText" text="other">
      <formula>NOT(ISERROR(SEARCH("other",G1)))</formula>
    </cfRule>
    <cfRule type="containsText" dxfId="70" priority="4" operator="containsText" text="other">
      <formula>NOT(ISERROR(SEARCH("other",G1)))</formula>
    </cfRule>
    <cfRule type="containsText" dxfId="69" priority="5" operator="containsText" text="others">
      <formula>NOT(ISERROR(SEARCH("others",G1)))</formula>
    </cfRule>
    <cfRule type="containsText" dxfId="68" priority="6" operator="containsText" text="others">
      <formula>NOT(ISERROR(SEARCH("others",G1)))</formula>
    </cfRule>
    <cfRule type="containsText" dxfId="67" priority="7" operator="containsText" text="others">
      <formula>NOT(ISERROR(SEARCH("others",G1)))</formula>
    </cfRule>
    <cfRule type="containsText" dxfId="66" priority="8" operator="containsText" text="female">
      <formula>NOT(ISERROR(SEARCH("female",G1)))</formula>
    </cfRule>
    <cfRule type="containsText" dxfId="65" priority="9" operator="containsText" text="male">
      <formula>NOT(ISERROR(SEARCH("male",G1)))</formula>
    </cfRule>
    <cfRule type="containsText" dxfId="64" priority="10" operator="containsText" text="unknown">
      <formula>NOT(ISERROR(SEARCH("unknown",G1)))</formula>
    </cfRule>
    <cfRule type="cellIs" dxfId="63" priority="11" operator="greaterThan">
      <formula>"unknown"</formula>
    </cfRule>
    <cfRule type="containsBlanks" dxfId="62" priority="15">
      <formula>LEN(TRIM(G1))=0</formula>
    </cfRule>
  </conditionalFormatting>
  <conditionalFormatting sqref="H1:H151 H357:H1048576">
    <cfRule type="containsText" dxfId="61" priority="1" operator="containsText" text="invalid_email">
      <formula>NOT(ISERROR(SEARCH("invalid_email",H1)))</formula>
    </cfRule>
    <cfRule type="containsText" dxfId="60" priority="2" operator="containsText" text="invalid_email">
      <formula>NOT(ISERROR(SEARCH("invalid_email",H1)))</formula>
    </cfRule>
    <cfRule type="containsBlanks" dxfId="59" priority="13">
      <formula>LEN(TRIM(H1))=0</formula>
    </cfRule>
    <cfRule type="containsBlanks" dxfId="58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activeCell="I1" sqref="I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57" priority="18">
      <formula>LEN(TRIM(B1))=0</formula>
    </cfRule>
    <cfRule type="containsBlanks" dxfId="56" priority="19">
      <formula>LEN(TRIM(B1))=0</formula>
    </cfRule>
    <cfRule type="timePeriod" dxfId="55" priority="23" timePeriod="yesterday">
      <formula>FLOOR(B1,1)=TODAY()-1</formula>
    </cfRule>
    <cfRule type="containsBlanks" dxfId="54" priority="24">
      <formula>LEN(TRIM(B1))=0</formula>
    </cfRule>
  </conditionalFormatting>
  <conditionalFormatting sqref="C1:C151 C357:C1048576">
    <cfRule type="containsBlanks" dxfId="53" priority="21">
      <formula>LEN(TRIM(C1))=0</formula>
    </cfRule>
    <cfRule type="containsBlanks" dxfId="52" priority="22">
      <formula>LEN(TRIM(C1))=0</formula>
    </cfRule>
  </conditionalFormatting>
  <conditionalFormatting sqref="D1:D151 D357:D1048576">
    <cfRule type="containsBlanks" dxfId="51" priority="20">
      <formula>LEN(TRIM(D1))=0</formula>
    </cfRule>
  </conditionalFormatting>
  <conditionalFormatting sqref="E1:E151 E357:E1048576">
    <cfRule type="containsText" dxfId="50" priority="12" operator="containsText" text="N/A">
      <formula>NOT(ISERROR(SEARCH("N/A",E1)))</formula>
    </cfRule>
    <cfRule type="containsBlanks" dxfId="49" priority="17">
      <formula>LEN(TRIM(E1))=0</formula>
    </cfRule>
  </conditionalFormatting>
  <conditionalFormatting sqref="F1:F151 F357:F1048576">
    <cfRule type="containsBlanks" dxfId="48" priority="16">
      <formula>LEN(TRIM(F1))=0</formula>
    </cfRule>
  </conditionalFormatting>
  <conditionalFormatting sqref="G1:G151 G357:G1048576">
    <cfRule type="containsText" dxfId="47" priority="3" operator="containsText" text="other">
      <formula>NOT(ISERROR(SEARCH("other",G1)))</formula>
    </cfRule>
    <cfRule type="containsText" dxfId="46" priority="4" operator="containsText" text="other">
      <formula>NOT(ISERROR(SEARCH("other",G1)))</formula>
    </cfRule>
    <cfRule type="containsText" dxfId="45" priority="5" operator="containsText" text="others">
      <formula>NOT(ISERROR(SEARCH("others",G1)))</formula>
    </cfRule>
    <cfRule type="containsText" dxfId="44" priority="6" operator="containsText" text="others">
      <formula>NOT(ISERROR(SEARCH("others",G1)))</formula>
    </cfRule>
    <cfRule type="containsText" dxfId="43" priority="7" operator="containsText" text="others">
      <formula>NOT(ISERROR(SEARCH("others",G1)))</formula>
    </cfRule>
    <cfRule type="containsText" dxfId="42" priority="8" operator="containsText" text="female">
      <formula>NOT(ISERROR(SEARCH("female",G1)))</formula>
    </cfRule>
    <cfRule type="containsText" dxfId="41" priority="9" operator="containsText" text="male">
      <formula>NOT(ISERROR(SEARCH("male",G1)))</formula>
    </cfRule>
    <cfRule type="containsText" dxfId="40" priority="10" operator="containsText" text="unknown">
      <formula>NOT(ISERROR(SEARCH("unknown",G1)))</formula>
    </cfRule>
    <cfRule type="cellIs" dxfId="39" priority="11" operator="greaterThan">
      <formula>"unknown"</formula>
    </cfRule>
    <cfRule type="containsBlanks" dxfId="38" priority="15">
      <formula>LEN(TRIM(G1))=0</formula>
    </cfRule>
  </conditionalFormatting>
  <conditionalFormatting sqref="H1:H151 H357:H1048576">
    <cfRule type="containsText" dxfId="37" priority="1" operator="containsText" text="invalid_email">
      <formula>NOT(ISERROR(SEARCH("invalid_email",H1)))</formula>
    </cfRule>
    <cfRule type="containsText" dxfId="36" priority="2" operator="containsText" text="invalid_email">
      <formula>NOT(ISERROR(SEARCH("invalid_email",H1)))</formula>
    </cfRule>
    <cfRule type="containsBlanks" dxfId="35" priority="13">
      <formula>LEN(TRIM(H1))=0</formula>
    </cfRule>
    <cfRule type="containsBlanks" dxfId="34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F1" sqref="F1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I1" zoomScaleNormal="100" workbookViewId="0">
      <selection activeCell="N5" sqref="N5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3:K33" si="1">IF(ISBLANK(C3),"Unknown",C3)</f>
        <v>HR</v>
      </c>
      <c r="L3" s="50" t="str">
        <f t="shared" ref="L3:L33" si="2">IF(ISBLANK(D3),"unknown",D3)</f>
        <v>Germany</v>
      </c>
      <c r="M3" s="50" t="str">
        <f t="shared" ref="M3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J6" sqref="J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33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62" sqref="D6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21.453125" bestFit="1" customWidth="1"/>
    <col min="6" max="6" width="17.81640625" bestFit="1" customWidth="1"/>
    <col min="7" max="7" width="9.26953125" bestFit="1" customWidth="1"/>
    <col min="8" max="8" width="19.81640625" bestFit="1" customWidth="1"/>
    <col min="9" max="9" width="20.6328125" bestFit="1" customWidth="1"/>
  </cols>
  <sheetData>
    <row r="1" spans="1: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347</v>
      </c>
      <c r="F1" s="46" t="s">
        <v>348</v>
      </c>
      <c r="G1" s="46" t="s">
        <v>7</v>
      </c>
      <c r="H1" s="46" t="s">
        <v>6</v>
      </c>
      <c r="I1" s="46" t="s">
        <v>349</v>
      </c>
    </row>
    <row r="2" spans="1:9" x14ac:dyDescent="0.35">
      <c r="A2" s="46" t="s">
        <v>9</v>
      </c>
      <c r="B2" s="46" t="s">
        <v>178</v>
      </c>
      <c r="C2" s="46" t="s">
        <v>166</v>
      </c>
      <c r="D2" s="46" t="s">
        <v>178</v>
      </c>
      <c r="E2" s="46">
        <v>66008.307692307688</v>
      </c>
      <c r="F2" s="46">
        <v>69175.76470588235</v>
      </c>
      <c r="G2" s="46" t="s">
        <v>178</v>
      </c>
      <c r="H2" s="46">
        <v>2</v>
      </c>
      <c r="I2" s="46" t="s">
        <v>178</v>
      </c>
    </row>
    <row r="3" spans="1:9" x14ac:dyDescent="0.35">
      <c r="A3" s="46" t="s">
        <v>10</v>
      </c>
      <c r="B3" s="46" t="s">
        <v>159</v>
      </c>
      <c r="C3" s="46" t="s">
        <v>167</v>
      </c>
      <c r="D3" s="46" t="s">
        <v>172</v>
      </c>
      <c r="E3" s="46">
        <v>54255</v>
      </c>
      <c r="F3" s="46">
        <v>54255</v>
      </c>
      <c r="G3" s="46" t="s">
        <v>180</v>
      </c>
      <c r="H3" s="46">
        <v>1</v>
      </c>
      <c r="I3" s="46" t="s">
        <v>183</v>
      </c>
    </row>
    <row r="4" spans="1:9" x14ac:dyDescent="0.35">
      <c r="A4" s="46" t="s">
        <v>11</v>
      </c>
      <c r="B4" s="46" t="s">
        <v>160</v>
      </c>
      <c r="C4" s="46" t="s">
        <v>166</v>
      </c>
      <c r="D4" s="46" t="s">
        <v>172</v>
      </c>
      <c r="E4" s="46">
        <v>63184</v>
      </c>
      <c r="F4" s="46">
        <v>63184</v>
      </c>
      <c r="G4" s="46" t="s">
        <v>180</v>
      </c>
      <c r="H4" s="46">
        <v>2</v>
      </c>
      <c r="I4" s="46" t="s">
        <v>184</v>
      </c>
    </row>
    <row r="5" spans="1:9" x14ac:dyDescent="0.35">
      <c r="A5" s="46" t="s">
        <v>12</v>
      </c>
      <c r="B5" s="46" t="s">
        <v>161</v>
      </c>
      <c r="C5" s="46" t="s">
        <v>168</v>
      </c>
      <c r="D5" s="46" t="s">
        <v>173</v>
      </c>
      <c r="E5" s="46">
        <v>94406</v>
      </c>
      <c r="F5" s="46">
        <v>94406</v>
      </c>
      <c r="G5" s="46" t="s">
        <v>180</v>
      </c>
      <c r="H5" s="46">
        <v>1</v>
      </c>
      <c r="I5" s="46" t="s">
        <v>185</v>
      </c>
    </row>
    <row r="6" spans="1:9" x14ac:dyDescent="0.35">
      <c r="A6" s="46" t="s">
        <v>13</v>
      </c>
      <c r="B6" s="46" t="s">
        <v>162</v>
      </c>
      <c r="C6" s="46" t="s">
        <v>168</v>
      </c>
      <c r="D6" s="46" t="s">
        <v>172</v>
      </c>
      <c r="E6" s="46">
        <v>64120</v>
      </c>
      <c r="F6" s="46">
        <v>64120</v>
      </c>
      <c r="G6" s="46" t="s">
        <v>180</v>
      </c>
      <c r="H6" s="46">
        <v>1</v>
      </c>
      <c r="I6" s="46" t="s">
        <v>186</v>
      </c>
    </row>
    <row r="7" spans="1:9" x14ac:dyDescent="0.35">
      <c r="A7" s="46" t="s">
        <v>14</v>
      </c>
      <c r="B7" s="46" t="s">
        <v>160</v>
      </c>
      <c r="C7" s="46" t="s">
        <v>169</v>
      </c>
      <c r="D7" s="46" t="s">
        <v>174</v>
      </c>
      <c r="E7" s="46">
        <v>78421</v>
      </c>
      <c r="F7" s="46">
        <v>78421</v>
      </c>
      <c r="G7" s="46" t="s">
        <v>181</v>
      </c>
      <c r="H7" s="46">
        <v>2</v>
      </c>
      <c r="I7" s="46" t="s">
        <v>187</v>
      </c>
    </row>
    <row r="8" spans="1:9" x14ac:dyDescent="0.35">
      <c r="A8" s="46" t="s">
        <v>16</v>
      </c>
      <c r="B8" s="46" t="s">
        <v>164</v>
      </c>
      <c r="C8" s="46" t="s">
        <v>170</v>
      </c>
      <c r="D8" s="46" t="s">
        <v>178</v>
      </c>
      <c r="E8" s="46">
        <v>35364</v>
      </c>
      <c r="F8" s="46">
        <v>35364</v>
      </c>
      <c r="G8" s="46" t="s">
        <v>180</v>
      </c>
      <c r="H8" s="46">
        <v>2</v>
      </c>
      <c r="I8" s="46" t="s">
        <v>188</v>
      </c>
    </row>
    <row r="9" spans="1:9" x14ac:dyDescent="0.35">
      <c r="A9" s="46" t="s">
        <v>17</v>
      </c>
      <c r="B9" s="46" t="s">
        <v>160</v>
      </c>
      <c r="C9" s="46" t="s">
        <v>169</v>
      </c>
      <c r="D9" s="46" t="s">
        <v>172</v>
      </c>
      <c r="E9" s="46">
        <v>97881</v>
      </c>
      <c r="F9" s="46">
        <v>97881</v>
      </c>
      <c r="G9" s="46" t="s">
        <v>181</v>
      </c>
      <c r="H9" s="46" t="s">
        <v>178</v>
      </c>
      <c r="I9" s="46" t="s">
        <v>189</v>
      </c>
    </row>
    <row r="10" spans="1:9" x14ac:dyDescent="0.35">
      <c r="A10" s="46" t="s">
        <v>18</v>
      </c>
      <c r="B10" s="46" t="s">
        <v>164</v>
      </c>
      <c r="C10" s="46" t="s">
        <v>167</v>
      </c>
      <c r="D10" s="46" t="s">
        <v>175</v>
      </c>
      <c r="E10" s="46">
        <v>91846</v>
      </c>
      <c r="F10" s="46">
        <v>91846</v>
      </c>
      <c r="G10" s="46" t="s">
        <v>180</v>
      </c>
      <c r="H10" s="46" t="s">
        <v>178</v>
      </c>
      <c r="I10" s="46" t="s">
        <v>190</v>
      </c>
    </row>
    <row r="11" spans="1:9" x14ac:dyDescent="0.35">
      <c r="A11" s="46" t="s">
        <v>19</v>
      </c>
      <c r="B11" s="46" t="s">
        <v>163</v>
      </c>
      <c r="C11" s="46" t="s">
        <v>166</v>
      </c>
      <c r="D11" s="46" t="s">
        <v>175</v>
      </c>
      <c r="E11" s="46">
        <v>64247</v>
      </c>
      <c r="F11" s="46">
        <v>64247</v>
      </c>
      <c r="G11" s="46" t="s">
        <v>181</v>
      </c>
      <c r="H11" s="46">
        <v>1</v>
      </c>
      <c r="I11" s="46" t="s">
        <v>191</v>
      </c>
    </row>
    <row r="12" spans="1:9" x14ac:dyDescent="0.35">
      <c r="A12" s="46" t="s">
        <v>20</v>
      </c>
      <c r="B12" s="46" t="s">
        <v>163</v>
      </c>
      <c r="C12" s="46" t="s">
        <v>169</v>
      </c>
      <c r="D12" s="46" t="s">
        <v>173</v>
      </c>
      <c r="E12" s="46">
        <v>91180</v>
      </c>
      <c r="F12" s="46">
        <v>91180</v>
      </c>
      <c r="G12" s="46" t="s">
        <v>180</v>
      </c>
      <c r="H12" s="46">
        <v>5</v>
      </c>
      <c r="I12" s="46" t="s">
        <v>192</v>
      </c>
    </row>
    <row r="13" spans="1:9" x14ac:dyDescent="0.35">
      <c r="A13" s="46" t="s">
        <v>22</v>
      </c>
      <c r="B13" s="46" t="s">
        <v>163</v>
      </c>
      <c r="C13" s="46" t="s">
        <v>178</v>
      </c>
      <c r="D13" s="46" t="s">
        <v>174</v>
      </c>
      <c r="E13" s="46">
        <v>62158</v>
      </c>
      <c r="F13" s="46">
        <v>62158</v>
      </c>
      <c r="G13" s="46" t="s">
        <v>180</v>
      </c>
      <c r="H13" s="46">
        <v>4</v>
      </c>
      <c r="I13" s="46" t="s">
        <v>193</v>
      </c>
    </row>
    <row r="14" spans="1:9" x14ac:dyDescent="0.35">
      <c r="A14" s="46" t="s">
        <v>23</v>
      </c>
      <c r="B14" s="46" t="s">
        <v>162</v>
      </c>
      <c r="C14" s="46" t="s">
        <v>167</v>
      </c>
      <c r="D14" s="46" t="s">
        <v>178</v>
      </c>
      <c r="E14" s="46">
        <v>59894</v>
      </c>
      <c r="F14" s="46">
        <v>59894</v>
      </c>
      <c r="G14" s="46" t="s">
        <v>180</v>
      </c>
      <c r="H14" s="46">
        <v>2</v>
      </c>
      <c r="I14" s="46" t="s">
        <v>194</v>
      </c>
    </row>
    <row r="15" spans="1:9" x14ac:dyDescent="0.35">
      <c r="A15" s="46" t="s">
        <v>24</v>
      </c>
      <c r="B15" s="46" t="s">
        <v>178</v>
      </c>
      <c r="C15" s="46" t="s">
        <v>169</v>
      </c>
      <c r="D15" s="46" t="s">
        <v>174</v>
      </c>
      <c r="E15" s="46">
        <v>92443</v>
      </c>
      <c r="F15" s="46">
        <v>92443</v>
      </c>
      <c r="G15" s="46" t="s">
        <v>180</v>
      </c>
      <c r="H15" s="46">
        <v>3</v>
      </c>
      <c r="I15" s="46" t="s">
        <v>195</v>
      </c>
    </row>
    <row r="16" spans="1:9" x14ac:dyDescent="0.35">
      <c r="A16" s="46" t="s">
        <v>25</v>
      </c>
      <c r="B16" s="46" t="s">
        <v>165</v>
      </c>
      <c r="C16" s="46" t="s">
        <v>178</v>
      </c>
      <c r="D16" s="46" t="s">
        <v>172</v>
      </c>
      <c r="E16" s="46">
        <v>90271</v>
      </c>
      <c r="F16" s="46">
        <v>90271</v>
      </c>
      <c r="G16" s="46" t="s">
        <v>180</v>
      </c>
      <c r="H16" s="46" t="s">
        <v>178</v>
      </c>
      <c r="I16" s="46" t="s">
        <v>196</v>
      </c>
    </row>
    <row r="17" spans="1:9" x14ac:dyDescent="0.35">
      <c r="A17" s="46" t="s">
        <v>26</v>
      </c>
      <c r="B17" s="46" t="s">
        <v>162</v>
      </c>
      <c r="C17" s="46" t="s">
        <v>166</v>
      </c>
      <c r="D17" s="46" t="s">
        <v>176</v>
      </c>
      <c r="E17" s="46">
        <v>41341</v>
      </c>
      <c r="F17" s="46">
        <v>41341</v>
      </c>
      <c r="G17" s="46" t="s">
        <v>180</v>
      </c>
      <c r="H17" s="46">
        <v>1</v>
      </c>
      <c r="I17" s="46" t="s">
        <v>197</v>
      </c>
    </row>
    <row r="18" spans="1:9" x14ac:dyDescent="0.35">
      <c r="A18" s="46" t="s">
        <v>27</v>
      </c>
      <c r="B18" s="46" t="s">
        <v>160</v>
      </c>
      <c r="C18" s="46" t="s">
        <v>166</v>
      </c>
      <c r="D18" s="46" t="s">
        <v>175</v>
      </c>
      <c r="E18" s="46">
        <v>73602</v>
      </c>
      <c r="F18" s="46">
        <v>73602</v>
      </c>
      <c r="G18" s="46" t="s">
        <v>180</v>
      </c>
      <c r="H18" s="46" t="s">
        <v>178</v>
      </c>
      <c r="I18" s="46" t="s">
        <v>198</v>
      </c>
    </row>
    <row r="19" spans="1:9" x14ac:dyDescent="0.35">
      <c r="A19" s="46" t="s">
        <v>28</v>
      </c>
      <c r="B19" s="46" t="s">
        <v>159</v>
      </c>
      <c r="C19" s="46" t="s">
        <v>178</v>
      </c>
      <c r="D19" s="46" t="s">
        <v>174</v>
      </c>
      <c r="E19" s="46">
        <v>67531</v>
      </c>
      <c r="F19" s="46">
        <v>67531</v>
      </c>
      <c r="G19" s="46" t="s">
        <v>181</v>
      </c>
      <c r="H19" s="46">
        <v>5</v>
      </c>
      <c r="I19" s="46" t="s">
        <v>199</v>
      </c>
    </row>
    <row r="20" spans="1:9" x14ac:dyDescent="0.35">
      <c r="A20" s="46" t="s">
        <v>29</v>
      </c>
      <c r="B20" s="46" t="s">
        <v>162</v>
      </c>
      <c r="C20" s="46" t="s">
        <v>167</v>
      </c>
      <c r="D20" s="46" t="s">
        <v>173</v>
      </c>
      <c r="E20" s="46">
        <v>66982.875</v>
      </c>
      <c r="F20" s="46">
        <v>69408.5625</v>
      </c>
      <c r="G20" s="46" t="s">
        <v>180</v>
      </c>
      <c r="H20" s="46">
        <v>2</v>
      </c>
      <c r="I20" s="46" t="s">
        <v>200</v>
      </c>
    </row>
    <row r="21" spans="1:9" x14ac:dyDescent="0.35">
      <c r="A21" s="46" t="s">
        <v>30</v>
      </c>
      <c r="B21" s="46" t="s">
        <v>162</v>
      </c>
      <c r="C21" s="46" t="s">
        <v>167</v>
      </c>
      <c r="D21" s="46" t="s">
        <v>178</v>
      </c>
      <c r="E21" s="46">
        <v>98922</v>
      </c>
      <c r="F21" s="46">
        <v>98922</v>
      </c>
      <c r="G21" s="46" t="s">
        <v>180</v>
      </c>
      <c r="H21" s="46">
        <v>4</v>
      </c>
      <c r="I21" s="46" t="s">
        <v>201</v>
      </c>
    </row>
    <row r="22" spans="1:9" x14ac:dyDescent="0.35">
      <c r="A22" s="46" t="s">
        <v>31</v>
      </c>
      <c r="B22" s="46" t="s">
        <v>159</v>
      </c>
      <c r="C22" s="46" t="s">
        <v>166</v>
      </c>
      <c r="D22" s="46" t="s">
        <v>174</v>
      </c>
      <c r="E22" s="46">
        <v>38333</v>
      </c>
      <c r="F22" s="46">
        <v>38333</v>
      </c>
      <c r="G22" s="46" t="s">
        <v>180</v>
      </c>
      <c r="H22" s="46">
        <v>5</v>
      </c>
      <c r="I22" s="46" t="s">
        <v>202</v>
      </c>
    </row>
    <row r="23" spans="1:9" x14ac:dyDescent="0.35">
      <c r="A23" s="46" t="s">
        <v>32</v>
      </c>
      <c r="B23" s="46" t="s">
        <v>160</v>
      </c>
      <c r="C23" s="46" t="s">
        <v>170</v>
      </c>
      <c r="D23" s="46" t="s">
        <v>175</v>
      </c>
      <c r="E23" s="46">
        <v>36515</v>
      </c>
      <c r="F23" s="46">
        <v>36515</v>
      </c>
      <c r="G23" s="46" t="s">
        <v>180</v>
      </c>
      <c r="H23" s="46">
        <v>3</v>
      </c>
      <c r="I23" s="46" t="s">
        <v>203</v>
      </c>
    </row>
    <row r="24" spans="1:9" x14ac:dyDescent="0.35">
      <c r="A24" s="46" t="s">
        <v>33</v>
      </c>
      <c r="B24" s="46" t="s">
        <v>163</v>
      </c>
      <c r="C24" s="46" t="s">
        <v>166</v>
      </c>
      <c r="D24" s="46" t="s">
        <v>178</v>
      </c>
      <c r="E24" s="46">
        <v>91005</v>
      </c>
      <c r="F24" s="46">
        <v>91005</v>
      </c>
      <c r="G24" s="46" t="s">
        <v>180</v>
      </c>
      <c r="H24" s="46">
        <v>1</v>
      </c>
      <c r="I24" s="46" t="s">
        <v>204</v>
      </c>
    </row>
    <row r="25" spans="1:9" x14ac:dyDescent="0.35">
      <c r="A25" s="46" t="s">
        <v>34</v>
      </c>
      <c r="B25" s="46" t="s">
        <v>164</v>
      </c>
      <c r="C25" s="46" t="s">
        <v>178</v>
      </c>
      <c r="D25" s="46" t="s">
        <v>178</v>
      </c>
      <c r="E25" s="46">
        <v>52272</v>
      </c>
      <c r="F25" s="46">
        <v>52272</v>
      </c>
      <c r="G25" s="46" t="s">
        <v>180</v>
      </c>
      <c r="H25" s="46">
        <v>3</v>
      </c>
      <c r="I25" s="46" t="s">
        <v>205</v>
      </c>
    </row>
    <row r="26" spans="1:9" x14ac:dyDescent="0.35">
      <c r="A26" s="46" t="s">
        <v>35</v>
      </c>
      <c r="B26" s="46" t="s">
        <v>159</v>
      </c>
      <c r="C26" s="46" t="s">
        <v>168</v>
      </c>
      <c r="D26" s="46" t="s">
        <v>172</v>
      </c>
      <c r="E26" s="46">
        <v>76518</v>
      </c>
      <c r="F26" s="46">
        <v>76518</v>
      </c>
      <c r="G26" s="46" t="s">
        <v>181</v>
      </c>
      <c r="H26" s="46">
        <v>2</v>
      </c>
      <c r="I26" s="46" t="s">
        <v>206</v>
      </c>
    </row>
    <row r="27" spans="1:9" x14ac:dyDescent="0.35">
      <c r="A27" s="46" t="s">
        <v>36</v>
      </c>
      <c r="B27" s="46" t="s">
        <v>160</v>
      </c>
      <c r="C27" s="46" t="s">
        <v>169</v>
      </c>
      <c r="D27" s="46" t="s">
        <v>175</v>
      </c>
      <c r="E27" s="46">
        <v>41448</v>
      </c>
      <c r="F27" s="46">
        <v>41448</v>
      </c>
      <c r="G27" s="46" t="s">
        <v>180</v>
      </c>
      <c r="H27" s="46">
        <v>3</v>
      </c>
      <c r="I27" s="46" t="s">
        <v>207</v>
      </c>
    </row>
    <row r="28" spans="1:9" x14ac:dyDescent="0.35">
      <c r="A28" s="46" t="s">
        <v>37</v>
      </c>
      <c r="B28" s="46" t="s">
        <v>161</v>
      </c>
      <c r="C28" s="46" t="s">
        <v>167</v>
      </c>
      <c r="D28" s="46" t="s">
        <v>175</v>
      </c>
      <c r="E28" s="46">
        <v>49282</v>
      </c>
      <c r="F28" s="46">
        <v>49282</v>
      </c>
      <c r="G28" s="46" t="s">
        <v>181</v>
      </c>
      <c r="H28" s="46">
        <v>2</v>
      </c>
      <c r="I28" s="46" t="s">
        <v>208</v>
      </c>
    </row>
    <row r="29" spans="1:9" x14ac:dyDescent="0.35">
      <c r="A29" s="46" t="s">
        <v>38</v>
      </c>
      <c r="B29" s="46" t="s">
        <v>165</v>
      </c>
      <c r="C29" s="46" t="s">
        <v>170</v>
      </c>
      <c r="D29" s="46" t="s">
        <v>175</v>
      </c>
      <c r="E29" s="46">
        <v>92959</v>
      </c>
      <c r="F29" s="46">
        <v>92959</v>
      </c>
      <c r="G29" s="46" t="s">
        <v>180</v>
      </c>
      <c r="H29" s="46">
        <v>5</v>
      </c>
      <c r="I29" s="46" t="s">
        <v>209</v>
      </c>
    </row>
    <row r="30" spans="1:9" x14ac:dyDescent="0.35">
      <c r="A30" s="46" t="s">
        <v>39</v>
      </c>
      <c r="B30" s="46" t="s">
        <v>178</v>
      </c>
      <c r="C30" s="46" t="s">
        <v>170</v>
      </c>
      <c r="D30" s="46" t="s">
        <v>178</v>
      </c>
      <c r="E30" s="46">
        <v>92259</v>
      </c>
      <c r="F30" s="46">
        <v>92259</v>
      </c>
      <c r="G30" s="46" t="s">
        <v>178</v>
      </c>
      <c r="H30" s="46">
        <v>1</v>
      </c>
      <c r="I30" s="46" t="s">
        <v>210</v>
      </c>
    </row>
    <row r="31" spans="1:9" x14ac:dyDescent="0.35">
      <c r="A31" s="46" t="s">
        <v>40</v>
      </c>
      <c r="B31" s="46" t="s">
        <v>159</v>
      </c>
      <c r="C31" s="46" t="s">
        <v>167</v>
      </c>
      <c r="D31" s="46" t="s">
        <v>172</v>
      </c>
      <c r="E31" s="46">
        <v>92299</v>
      </c>
      <c r="F31" s="46">
        <v>92299</v>
      </c>
      <c r="G31" s="46" t="s">
        <v>180</v>
      </c>
      <c r="H31" s="46">
        <v>3</v>
      </c>
      <c r="I31" s="46" t="s">
        <v>211</v>
      </c>
    </row>
    <row r="32" spans="1:9" x14ac:dyDescent="0.35">
      <c r="A32" s="46" t="s">
        <v>41</v>
      </c>
      <c r="B32" s="46" t="s">
        <v>163</v>
      </c>
      <c r="C32" s="46" t="s">
        <v>167</v>
      </c>
      <c r="D32" s="46" t="s">
        <v>178</v>
      </c>
      <c r="E32" s="46">
        <v>95586</v>
      </c>
      <c r="F32" s="46">
        <v>95586</v>
      </c>
      <c r="G32" s="46" t="s">
        <v>180</v>
      </c>
      <c r="H32" s="46">
        <v>3</v>
      </c>
      <c r="I32" s="46" t="s">
        <v>212</v>
      </c>
    </row>
    <row r="33" spans="1:9" x14ac:dyDescent="0.35">
      <c r="A33" s="46" t="s">
        <v>42</v>
      </c>
      <c r="B33" s="46" t="s">
        <v>164</v>
      </c>
      <c r="C33" s="46" t="s">
        <v>178</v>
      </c>
      <c r="D33" s="46" t="s">
        <v>173</v>
      </c>
      <c r="E33" s="46">
        <v>95367</v>
      </c>
      <c r="F33" s="46">
        <v>95367</v>
      </c>
      <c r="G33" s="46" t="s">
        <v>180</v>
      </c>
      <c r="H33" s="46" t="s">
        <v>178</v>
      </c>
      <c r="I33" s="46" t="s">
        <v>213</v>
      </c>
    </row>
    <row r="34" spans="1:9" x14ac:dyDescent="0.35">
      <c r="A34" s="46" t="s">
        <v>43</v>
      </c>
      <c r="B34" s="46" t="s">
        <v>161</v>
      </c>
      <c r="C34" s="46" t="s">
        <v>168</v>
      </c>
      <c r="D34" s="46" t="s">
        <v>176</v>
      </c>
      <c r="E34" s="46">
        <v>79549</v>
      </c>
      <c r="F34" s="46">
        <v>79549</v>
      </c>
      <c r="G34" s="46" t="s">
        <v>180</v>
      </c>
      <c r="H34" s="46">
        <v>3</v>
      </c>
      <c r="I34" s="46" t="s">
        <v>214</v>
      </c>
    </row>
    <row r="35" spans="1:9" x14ac:dyDescent="0.35">
      <c r="A35" s="46" t="s">
        <v>45</v>
      </c>
      <c r="B35" s="46" t="s">
        <v>160</v>
      </c>
      <c r="C35" s="46" t="s">
        <v>169</v>
      </c>
      <c r="D35" s="46" t="s">
        <v>173</v>
      </c>
      <c r="E35" s="46">
        <v>89781</v>
      </c>
      <c r="F35" s="46">
        <v>89781</v>
      </c>
      <c r="G35" s="46" t="s">
        <v>181</v>
      </c>
      <c r="H35" s="46" t="s">
        <v>178</v>
      </c>
      <c r="I35" s="46" t="s">
        <v>215</v>
      </c>
    </row>
    <row r="36" spans="1:9" x14ac:dyDescent="0.35">
      <c r="A36" s="46" t="s">
        <v>46</v>
      </c>
      <c r="B36" s="46" t="s">
        <v>160</v>
      </c>
      <c r="C36" s="46" t="s">
        <v>167</v>
      </c>
      <c r="D36" s="46" t="s">
        <v>178</v>
      </c>
      <c r="E36" s="46">
        <v>64796</v>
      </c>
      <c r="F36" s="46">
        <v>64796</v>
      </c>
      <c r="G36" s="46" t="s">
        <v>180</v>
      </c>
      <c r="H36" s="46" t="s">
        <v>178</v>
      </c>
      <c r="I36" s="46" t="s">
        <v>216</v>
      </c>
    </row>
    <row r="37" spans="1:9" x14ac:dyDescent="0.35">
      <c r="A37" s="46" t="s">
        <v>47</v>
      </c>
      <c r="B37" s="46" t="s">
        <v>161</v>
      </c>
      <c r="C37" s="46" t="s">
        <v>170</v>
      </c>
      <c r="D37" s="46" t="s">
        <v>175</v>
      </c>
      <c r="E37" s="46">
        <v>52093</v>
      </c>
      <c r="F37" s="46">
        <v>52093</v>
      </c>
      <c r="G37" s="46" t="s">
        <v>180</v>
      </c>
      <c r="H37" s="46">
        <v>5</v>
      </c>
      <c r="I37" s="46" t="s">
        <v>217</v>
      </c>
    </row>
    <row r="38" spans="1:9" x14ac:dyDescent="0.35">
      <c r="A38" s="46" t="s">
        <v>48</v>
      </c>
      <c r="B38" s="46" t="s">
        <v>164</v>
      </c>
      <c r="C38" s="46" t="s">
        <v>167</v>
      </c>
      <c r="D38" s="46" t="s">
        <v>175</v>
      </c>
      <c r="E38" s="46">
        <v>48224</v>
      </c>
      <c r="F38" s="46">
        <v>48224</v>
      </c>
      <c r="G38" s="46" t="s">
        <v>180</v>
      </c>
      <c r="H38" s="46">
        <v>3</v>
      </c>
      <c r="I38" s="46" t="s">
        <v>218</v>
      </c>
    </row>
    <row r="39" spans="1:9" x14ac:dyDescent="0.35">
      <c r="A39" s="46" t="s">
        <v>49</v>
      </c>
      <c r="B39" s="46" t="s">
        <v>165</v>
      </c>
      <c r="C39" s="46" t="s">
        <v>166</v>
      </c>
      <c r="D39" s="46" t="s">
        <v>175</v>
      </c>
      <c r="E39" s="46">
        <v>66008.307692307688</v>
      </c>
      <c r="F39" s="46">
        <v>67008.2</v>
      </c>
      <c r="G39" s="46" t="s">
        <v>181</v>
      </c>
      <c r="H39" s="46">
        <v>4</v>
      </c>
      <c r="I39" s="46" t="s">
        <v>219</v>
      </c>
    </row>
    <row r="40" spans="1:9" x14ac:dyDescent="0.35">
      <c r="A40" s="46" t="s">
        <v>50</v>
      </c>
      <c r="B40" s="46" t="s">
        <v>160</v>
      </c>
      <c r="C40" s="46" t="s">
        <v>169</v>
      </c>
      <c r="D40" s="46" t="s">
        <v>172</v>
      </c>
      <c r="E40" s="46">
        <v>33956</v>
      </c>
      <c r="F40" s="46">
        <v>33956</v>
      </c>
      <c r="G40" s="46" t="s">
        <v>180</v>
      </c>
      <c r="H40" s="46" t="s">
        <v>178</v>
      </c>
      <c r="I40" s="46" t="s">
        <v>220</v>
      </c>
    </row>
    <row r="41" spans="1:9" x14ac:dyDescent="0.35">
      <c r="A41" s="46" t="s">
        <v>51</v>
      </c>
      <c r="B41" s="46" t="s">
        <v>165</v>
      </c>
      <c r="C41" s="46" t="s">
        <v>178</v>
      </c>
      <c r="D41" s="46" t="s">
        <v>176</v>
      </c>
      <c r="E41" s="46">
        <v>64913</v>
      </c>
      <c r="F41" s="46">
        <v>64913</v>
      </c>
      <c r="G41" s="46" t="s">
        <v>181</v>
      </c>
      <c r="H41" s="46">
        <v>1</v>
      </c>
      <c r="I41" s="46" t="s">
        <v>221</v>
      </c>
    </row>
    <row r="42" spans="1:9" x14ac:dyDescent="0.35">
      <c r="A42" s="46" t="s">
        <v>52</v>
      </c>
      <c r="B42" s="46" t="s">
        <v>160</v>
      </c>
      <c r="C42" s="46" t="s">
        <v>170</v>
      </c>
      <c r="D42" s="46" t="s">
        <v>176</v>
      </c>
      <c r="E42" s="46">
        <v>35326</v>
      </c>
      <c r="F42" s="46">
        <v>35326</v>
      </c>
      <c r="G42" s="46" t="s">
        <v>181</v>
      </c>
      <c r="H42" s="46" t="s">
        <v>178</v>
      </c>
      <c r="I42" s="46" t="s">
        <v>222</v>
      </c>
    </row>
    <row r="43" spans="1:9" x14ac:dyDescent="0.35">
      <c r="A43" s="46" t="s">
        <v>53</v>
      </c>
      <c r="B43" s="46" t="s">
        <v>164</v>
      </c>
      <c r="C43" s="46" t="s">
        <v>166</v>
      </c>
      <c r="D43" s="46" t="s">
        <v>178</v>
      </c>
      <c r="E43" s="46">
        <v>81610</v>
      </c>
      <c r="F43" s="46">
        <v>81610</v>
      </c>
      <c r="G43" s="46" t="s">
        <v>180</v>
      </c>
      <c r="H43" s="46">
        <v>1</v>
      </c>
      <c r="I43" s="46" t="s">
        <v>223</v>
      </c>
    </row>
    <row r="44" spans="1:9" x14ac:dyDescent="0.35">
      <c r="A44" s="46" t="s">
        <v>55</v>
      </c>
      <c r="B44" s="46" t="s">
        <v>164</v>
      </c>
      <c r="C44" s="46" t="s">
        <v>169</v>
      </c>
      <c r="D44" s="46" t="s">
        <v>172</v>
      </c>
      <c r="E44" s="46">
        <v>92701</v>
      </c>
      <c r="F44" s="46">
        <v>92701</v>
      </c>
      <c r="G44" s="46" t="s">
        <v>180</v>
      </c>
      <c r="H44" s="46">
        <v>3</v>
      </c>
      <c r="I44" s="46" t="s">
        <v>224</v>
      </c>
    </row>
    <row r="45" spans="1:9" x14ac:dyDescent="0.35">
      <c r="A45" s="46" t="s">
        <v>56</v>
      </c>
      <c r="B45" s="46" t="s">
        <v>164</v>
      </c>
      <c r="C45" s="46" t="s">
        <v>167</v>
      </c>
      <c r="D45" s="46" t="s">
        <v>174</v>
      </c>
      <c r="E45" s="46">
        <v>58245</v>
      </c>
      <c r="F45" s="46">
        <v>58245</v>
      </c>
      <c r="G45" s="46" t="s">
        <v>180</v>
      </c>
      <c r="H45" s="46">
        <v>4</v>
      </c>
      <c r="I45" s="46" t="s">
        <v>225</v>
      </c>
    </row>
    <row r="46" spans="1:9" x14ac:dyDescent="0.35">
      <c r="A46" s="46" t="s">
        <v>59</v>
      </c>
      <c r="B46" s="46" t="s">
        <v>164</v>
      </c>
      <c r="C46" s="46" t="s">
        <v>178</v>
      </c>
      <c r="D46" s="46" t="s">
        <v>350</v>
      </c>
      <c r="E46" s="46">
        <v>30686</v>
      </c>
      <c r="F46" s="46">
        <v>30686</v>
      </c>
      <c r="G46" s="46" t="s">
        <v>181</v>
      </c>
      <c r="H46" s="46">
        <v>2</v>
      </c>
      <c r="I46" s="46" t="s">
        <v>226</v>
      </c>
    </row>
    <row r="47" spans="1:9" x14ac:dyDescent="0.35">
      <c r="A47" s="46" t="s">
        <v>60</v>
      </c>
      <c r="B47" s="46" t="s">
        <v>163</v>
      </c>
      <c r="C47" s="46" t="s">
        <v>168</v>
      </c>
      <c r="D47" s="46" t="s">
        <v>174</v>
      </c>
      <c r="E47" s="46">
        <v>39423</v>
      </c>
      <c r="F47" s="46">
        <v>39423</v>
      </c>
      <c r="G47" s="46" t="s">
        <v>180</v>
      </c>
      <c r="H47" s="46">
        <v>5</v>
      </c>
      <c r="I47" s="46" t="s">
        <v>227</v>
      </c>
    </row>
    <row r="48" spans="1:9" x14ac:dyDescent="0.35">
      <c r="A48" s="46" t="s">
        <v>61</v>
      </c>
      <c r="B48" s="46" t="s">
        <v>159</v>
      </c>
      <c r="C48" s="46" t="s">
        <v>170</v>
      </c>
      <c r="D48" s="46" t="s">
        <v>178</v>
      </c>
      <c r="E48" s="46">
        <v>30280</v>
      </c>
      <c r="F48" s="46">
        <v>30280</v>
      </c>
      <c r="G48" s="46" t="s">
        <v>180</v>
      </c>
      <c r="H48" s="46">
        <v>1</v>
      </c>
      <c r="I48" s="46" t="s">
        <v>228</v>
      </c>
    </row>
    <row r="49" spans="1:9" x14ac:dyDescent="0.35">
      <c r="A49" s="46" t="s">
        <v>63</v>
      </c>
      <c r="B49" s="46" t="s">
        <v>165</v>
      </c>
      <c r="C49" s="46" t="s">
        <v>170</v>
      </c>
      <c r="D49" s="46" t="s">
        <v>175</v>
      </c>
      <c r="E49" s="46">
        <v>75633</v>
      </c>
      <c r="F49" s="46">
        <v>75633</v>
      </c>
      <c r="G49" s="46" t="s">
        <v>180</v>
      </c>
      <c r="H49" s="46">
        <v>5</v>
      </c>
      <c r="I49" s="46" t="s">
        <v>229</v>
      </c>
    </row>
    <row r="50" spans="1:9" x14ac:dyDescent="0.35">
      <c r="A50" s="46" t="s">
        <v>64</v>
      </c>
      <c r="B50" s="46" t="s">
        <v>164</v>
      </c>
      <c r="C50" s="46" t="s">
        <v>178</v>
      </c>
      <c r="D50" s="46" t="s">
        <v>173</v>
      </c>
      <c r="E50" s="46">
        <v>74815</v>
      </c>
      <c r="F50" s="46">
        <v>74815</v>
      </c>
      <c r="G50" s="46" t="s">
        <v>181</v>
      </c>
      <c r="H50" s="46">
        <v>5</v>
      </c>
      <c r="I50" s="46" t="s">
        <v>230</v>
      </c>
    </row>
    <row r="51" spans="1:9" x14ac:dyDescent="0.35">
      <c r="A51" s="46" t="s">
        <v>65</v>
      </c>
      <c r="B51" s="46" t="s">
        <v>161</v>
      </c>
      <c r="C51" s="46" t="s">
        <v>168</v>
      </c>
      <c r="D51" s="46" t="s">
        <v>176</v>
      </c>
      <c r="E51" s="46">
        <v>60011</v>
      </c>
      <c r="F51" s="46">
        <v>60011</v>
      </c>
      <c r="G51" s="46" t="s">
        <v>180</v>
      </c>
      <c r="H51" s="46">
        <v>1</v>
      </c>
      <c r="I51" s="46" t="s">
        <v>231</v>
      </c>
    </row>
    <row r="52" spans="1:9" x14ac:dyDescent="0.35">
      <c r="A52" s="46" t="s">
        <v>67</v>
      </c>
      <c r="B52" s="46" t="s">
        <v>163</v>
      </c>
      <c r="C52" s="46" t="s">
        <v>170</v>
      </c>
      <c r="D52" s="46" t="s">
        <v>178</v>
      </c>
      <c r="E52" s="46">
        <v>84924</v>
      </c>
      <c r="F52" s="46">
        <v>84924</v>
      </c>
      <c r="G52" s="46" t="s">
        <v>180</v>
      </c>
      <c r="H52" s="46">
        <v>5</v>
      </c>
      <c r="I52" s="46" t="s">
        <v>232</v>
      </c>
    </row>
    <row r="53" spans="1:9" x14ac:dyDescent="0.35">
      <c r="A53" s="46" t="s">
        <v>69</v>
      </c>
      <c r="B53" s="46" t="s">
        <v>178</v>
      </c>
      <c r="C53" s="46" t="s">
        <v>170</v>
      </c>
      <c r="D53" s="46" t="s">
        <v>172</v>
      </c>
      <c r="E53" s="46">
        <v>66344</v>
      </c>
      <c r="F53" s="46">
        <v>71793.71428571429</v>
      </c>
      <c r="G53" s="46" t="s">
        <v>178</v>
      </c>
      <c r="H53" s="46">
        <v>5</v>
      </c>
      <c r="I53" s="46" t="s">
        <v>233</v>
      </c>
    </row>
    <row r="54" spans="1:9" x14ac:dyDescent="0.35">
      <c r="A54" s="46" t="s">
        <v>71</v>
      </c>
      <c r="B54" s="46" t="s">
        <v>164</v>
      </c>
      <c r="C54" s="46" t="s">
        <v>169</v>
      </c>
      <c r="D54" s="46" t="s">
        <v>175</v>
      </c>
      <c r="E54" s="46">
        <v>97981</v>
      </c>
      <c r="F54" s="46">
        <v>97981</v>
      </c>
      <c r="G54" s="46" t="s">
        <v>181</v>
      </c>
      <c r="H54" s="46">
        <v>5</v>
      </c>
      <c r="I54" s="46" t="s">
        <v>234</v>
      </c>
    </row>
    <row r="55" spans="1:9" x14ac:dyDescent="0.35">
      <c r="A55" s="46" t="s">
        <v>72</v>
      </c>
      <c r="B55" s="46" t="s">
        <v>159</v>
      </c>
      <c r="C55" s="46" t="s">
        <v>167</v>
      </c>
      <c r="D55" s="46" t="s">
        <v>173</v>
      </c>
      <c r="E55" s="46">
        <v>36541</v>
      </c>
      <c r="F55" s="46">
        <v>36541</v>
      </c>
      <c r="G55" s="46" t="s">
        <v>180</v>
      </c>
      <c r="H55" s="46">
        <v>2</v>
      </c>
      <c r="I55" s="46" t="s">
        <v>235</v>
      </c>
    </row>
    <row r="56" spans="1:9" x14ac:dyDescent="0.35">
      <c r="A56" s="46" t="s">
        <v>73</v>
      </c>
      <c r="B56" s="46" t="s">
        <v>161</v>
      </c>
      <c r="C56" s="46" t="s">
        <v>169</v>
      </c>
      <c r="D56" s="46" t="s">
        <v>174</v>
      </c>
      <c r="E56" s="46">
        <v>84737</v>
      </c>
      <c r="F56" s="46">
        <v>84737</v>
      </c>
      <c r="G56" s="46" t="s">
        <v>180</v>
      </c>
      <c r="H56" s="46">
        <v>1</v>
      </c>
      <c r="I56" s="46" t="s">
        <v>236</v>
      </c>
    </row>
    <row r="57" spans="1:9" x14ac:dyDescent="0.35">
      <c r="A57" s="46" t="s">
        <v>74</v>
      </c>
      <c r="B57" s="46" t="s">
        <v>163</v>
      </c>
      <c r="C57" s="46" t="s">
        <v>166</v>
      </c>
      <c r="D57" s="46" t="s">
        <v>174</v>
      </c>
      <c r="E57" s="46">
        <v>33468</v>
      </c>
      <c r="F57" s="46">
        <v>33468</v>
      </c>
      <c r="G57" s="46" t="s">
        <v>180</v>
      </c>
      <c r="H57" s="46">
        <v>4</v>
      </c>
      <c r="I57" s="46" t="s">
        <v>237</v>
      </c>
    </row>
    <row r="58" spans="1:9" x14ac:dyDescent="0.35">
      <c r="A58" s="46" t="s">
        <v>75</v>
      </c>
      <c r="B58" s="46" t="s">
        <v>163</v>
      </c>
      <c r="C58" s="46" t="s">
        <v>178</v>
      </c>
      <c r="D58" s="46" t="s">
        <v>176</v>
      </c>
      <c r="E58" s="46">
        <v>96365</v>
      </c>
      <c r="F58" s="46">
        <v>96365</v>
      </c>
      <c r="G58" s="46" t="s">
        <v>180</v>
      </c>
      <c r="H58" s="46">
        <v>3</v>
      </c>
      <c r="I58" s="46" t="s">
        <v>238</v>
      </c>
    </row>
    <row r="59" spans="1:9" x14ac:dyDescent="0.35">
      <c r="A59" s="46" t="s">
        <v>76</v>
      </c>
      <c r="B59" s="46" t="s">
        <v>160</v>
      </c>
      <c r="C59" s="46" t="s">
        <v>168</v>
      </c>
      <c r="D59" s="46" t="s">
        <v>174</v>
      </c>
      <c r="E59" s="46">
        <v>61942</v>
      </c>
      <c r="F59" s="46">
        <v>61942</v>
      </c>
      <c r="G59" s="46" t="s">
        <v>181</v>
      </c>
      <c r="H59" s="46">
        <v>3</v>
      </c>
      <c r="I59" s="46" t="s">
        <v>239</v>
      </c>
    </row>
    <row r="60" spans="1:9" x14ac:dyDescent="0.35">
      <c r="A60" s="46" t="s">
        <v>78</v>
      </c>
      <c r="B60" s="46" t="s">
        <v>165</v>
      </c>
      <c r="C60" s="46" t="s">
        <v>166</v>
      </c>
      <c r="D60" s="46" t="s">
        <v>174</v>
      </c>
      <c r="E60" s="46">
        <v>77096</v>
      </c>
      <c r="F60" s="46">
        <v>77096</v>
      </c>
      <c r="G60" s="46" t="s">
        <v>180</v>
      </c>
      <c r="H60" s="46">
        <v>1</v>
      </c>
      <c r="I60" s="46" t="s">
        <v>240</v>
      </c>
    </row>
    <row r="61" spans="1:9" x14ac:dyDescent="0.35">
      <c r="A61" s="46" t="s">
        <v>80</v>
      </c>
      <c r="B61" s="46" t="s">
        <v>159</v>
      </c>
      <c r="C61" s="46" t="s">
        <v>170</v>
      </c>
      <c r="D61" s="46" t="s">
        <v>173</v>
      </c>
      <c r="E61" s="46">
        <v>85065</v>
      </c>
      <c r="F61" s="46">
        <v>85065</v>
      </c>
      <c r="G61" s="46" t="s">
        <v>180</v>
      </c>
      <c r="H61" s="46">
        <v>3</v>
      </c>
      <c r="I61" s="46" t="s">
        <v>241</v>
      </c>
    </row>
    <row r="62" spans="1:9" x14ac:dyDescent="0.35">
      <c r="A62" s="46" t="s">
        <v>84</v>
      </c>
      <c r="B62" s="46" t="s">
        <v>178</v>
      </c>
      <c r="C62" s="46" t="s">
        <v>168</v>
      </c>
      <c r="D62" s="46" t="s">
        <v>350</v>
      </c>
      <c r="E62" s="46">
        <v>96142</v>
      </c>
      <c r="F62" s="46">
        <v>96142</v>
      </c>
      <c r="G62" s="46" t="s">
        <v>180</v>
      </c>
      <c r="H62" s="46">
        <v>1</v>
      </c>
      <c r="I62" s="46" t="s">
        <v>242</v>
      </c>
    </row>
    <row r="63" spans="1:9" x14ac:dyDescent="0.35">
      <c r="A63" s="46" t="s">
        <v>86</v>
      </c>
      <c r="B63" s="46" t="s">
        <v>162</v>
      </c>
      <c r="C63" s="46" t="s">
        <v>178</v>
      </c>
      <c r="D63" s="46" t="s">
        <v>175</v>
      </c>
      <c r="E63" s="46">
        <v>69166</v>
      </c>
      <c r="F63" s="46">
        <v>69166</v>
      </c>
      <c r="G63" s="46" t="s">
        <v>181</v>
      </c>
      <c r="H63" s="46">
        <v>1</v>
      </c>
      <c r="I63" s="46" t="s">
        <v>243</v>
      </c>
    </row>
    <row r="64" spans="1:9" x14ac:dyDescent="0.35">
      <c r="A64" s="46" t="s">
        <v>87</v>
      </c>
      <c r="B64" s="46" t="s">
        <v>163</v>
      </c>
      <c r="C64" s="46" t="s">
        <v>178</v>
      </c>
      <c r="D64" s="46" t="s">
        <v>175</v>
      </c>
      <c r="E64" s="46">
        <v>78245</v>
      </c>
      <c r="F64" s="46">
        <v>78245</v>
      </c>
      <c r="G64" s="46" t="s">
        <v>180</v>
      </c>
      <c r="H64" s="46">
        <v>2</v>
      </c>
      <c r="I64" s="46" t="s">
        <v>244</v>
      </c>
    </row>
    <row r="65" spans="1:9" x14ac:dyDescent="0.35">
      <c r="A65" s="46" t="s">
        <v>88</v>
      </c>
      <c r="B65" s="46" t="s">
        <v>164</v>
      </c>
      <c r="C65" s="46" t="s">
        <v>168</v>
      </c>
      <c r="D65" s="46" t="s">
        <v>173</v>
      </c>
      <c r="E65" s="46">
        <v>66079</v>
      </c>
      <c r="F65" s="46">
        <v>66079</v>
      </c>
      <c r="G65" s="46" t="s">
        <v>180</v>
      </c>
      <c r="H65" s="46">
        <v>2</v>
      </c>
      <c r="I65" s="46" t="s">
        <v>245</v>
      </c>
    </row>
    <row r="66" spans="1:9" x14ac:dyDescent="0.35">
      <c r="A66" s="46" t="s">
        <v>90</v>
      </c>
      <c r="B66" s="46" t="s">
        <v>162</v>
      </c>
      <c r="C66" s="46" t="s">
        <v>168</v>
      </c>
      <c r="D66" s="46" t="s">
        <v>173</v>
      </c>
      <c r="E66" s="46">
        <v>95621</v>
      </c>
      <c r="F66" s="46">
        <v>95621</v>
      </c>
      <c r="G66" s="46" t="s">
        <v>181</v>
      </c>
      <c r="H66" s="46">
        <v>3</v>
      </c>
      <c r="I66" s="46" t="s">
        <v>246</v>
      </c>
    </row>
    <row r="67" spans="1:9" x14ac:dyDescent="0.35">
      <c r="A67" s="46" t="s">
        <v>91</v>
      </c>
      <c r="B67" s="46" t="s">
        <v>159</v>
      </c>
      <c r="C67" s="46" t="s">
        <v>169</v>
      </c>
      <c r="D67" s="46" t="s">
        <v>175</v>
      </c>
      <c r="E67" s="46">
        <v>42262</v>
      </c>
      <c r="F67" s="46">
        <v>42262</v>
      </c>
      <c r="G67" s="46" t="s">
        <v>180</v>
      </c>
      <c r="H67" s="46">
        <v>1</v>
      </c>
      <c r="I67" s="46" t="s">
        <v>247</v>
      </c>
    </row>
    <row r="68" spans="1:9" x14ac:dyDescent="0.35">
      <c r="A68" s="46" t="s">
        <v>92</v>
      </c>
      <c r="B68" s="46" t="s">
        <v>163</v>
      </c>
      <c r="C68" s="46" t="s">
        <v>168</v>
      </c>
      <c r="D68" s="46" t="s">
        <v>174</v>
      </c>
      <c r="E68" s="46">
        <v>99621</v>
      </c>
      <c r="F68" s="46">
        <v>99621</v>
      </c>
      <c r="G68" s="46" t="s">
        <v>180</v>
      </c>
      <c r="H68" s="46" t="s">
        <v>178</v>
      </c>
      <c r="I68" s="46" t="s">
        <v>248</v>
      </c>
    </row>
    <row r="69" spans="1:9" x14ac:dyDescent="0.35">
      <c r="A69" s="46" t="s">
        <v>94</v>
      </c>
      <c r="B69" s="46" t="s">
        <v>164</v>
      </c>
      <c r="C69" s="46" t="s">
        <v>166</v>
      </c>
      <c r="D69" s="46" t="s">
        <v>178</v>
      </c>
      <c r="E69" s="46">
        <v>35163</v>
      </c>
      <c r="F69" s="46">
        <v>35163</v>
      </c>
      <c r="G69" s="46" t="s">
        <v>180</v>
      </c>
      <c r="H69" s="46">
        <v>5</v>
      </c>
      <c r="I69" s="46" t="s">
        <v>249</v>
      </c>
    </row>
    <row r="70" spans="1:9" x14ac:dyDescent="0.35">
      <c r="A70" s="46" t="s">
        <v>95</v>
      </c>
      <c r="B70" s="46" t="s">
        <v>164</v>
      </c>
      <c r="C70" s="46" t="s">
        <v>169</v>
      </c>
      <c r="D70" s="46" t="s">
        <v>174</v>
      </c>
      <c r="E70" s="46">
        <v>33483</v>
      </c>
      <c r="F70" s="46">
        <v>33483</v>
      </c>
      <c r="G70" s="46" t="s">
        <v>180</v>
      </c>
      <c r="H70" s="46">
        <v>4</v>
      </c>
      <c r="I70" s="46" t="s">
        <v>250</v>
      </c>
    </row>
    <row r="71" spans="1:9" x14ac:dyDescent="0.35">
      <c r="A71" s="46" t="s">
        <v>97</v>
      </c>
      <c r="B71" s="46" t="s">
        <v>164</v>
      </c>
      <c r="C71" s="46" t="s">
        <v>169</v>
      </c>
      <c r="D71" s="46" t="s">
        <v>178</v>
      </c>
      <c r="E71" s="46">
        <v>63434</v>
      </c>
      <c r="F71" s="46">
        <v>63434</v>
      </c>
      <c r="G71" s="46" t="s">
        <v>180</v>
      </c>
      <c r="H71" s="46">
        <v>3</v>
      </c>
      <c r="I71" s="46" t="s">
        <v>251</v>
      </c>
    </row>
    <row r="72" spans="1:9" x14ac:dyDescent="0.35">
      <c r="A72" s="46" t="s">
        <v>102</v>
      </c>
      <c r="B72" s="46" t="s">
        <v>160</v>
      </c>
      <c r="C72" s="46" t="s">
        <v>178</v>
      </c>
      <c r="D72" s="46" t="s">
        <v>173</v>
      </c>
      <c r="E72" s="46">
        <v>76238</v>
      </c>
      <c r="F72" s="46">
        <v>76238</v>
      </c>
      <c r="G72" s="46" t="s">
        <v>180</v>
      </c>
      <c r="H72" s="46">
        <v>4</v>
      </c>
      <c r="I72" s="46" t="s">
        <v>252</v>
      </c>
    </row>
    <row r="73" spans="1:9" x14ac:dyDescent="0.35">
      <c r="A73" s="46" t="s">
        <v>103</v>
      </c>
      <c r="B73" s="46" t="s">
        <v>165</v>
      </c>
      <c r="C73" s="46" t="s">
        <v>169</v>
      </c>
      <c r="D73" s="46" t="s">
        <v>174</v>
      </c>
      <c r="E73" s="46">
        <v>33264</v>
      </c>
      <c r="F73" s="46">
        <v>33264</v>
      </c>
      <c r="G73" s="46" t="s">
        <v>181</v>
      </c>
      <c r="H73" s="46" t="s">
        <v>178</v>
      </c>
      <c r="I73" s="46" t="s">
        <v>253</v>
      </c>
    </row>
    <row r="74" spans="1:9" x14ac:dyDescent="0.35">
      <c r="A74" s="46" t="s">
        <v>104</v>
      </c>
      <c r="B74" s="46" t="s">
        <v>160</v>
      </c>
      <c r="C74" s="46" t="s">
        <v>166</v>
      </c>
      <c r="D74" s="46" t="s">
        <v>176</v>
      </c>
      <c r="E74" s="46">
        <v>96101</v>
      </c>
      <c r="F74" s="46">
        <v>96101</v>
      </c>
      <c r="G74" s="46" t="s">
        <v>180</v>
      </c>
      <c r="H74" s="46" t="s">
        <v>178</v>
      </c>
      <c r="I74" s="46" t="s">
        <v>254</v>
      </c>
    </row>
    <row r="75" spans="1:9" x14ac:dyDescent="0.35">
      <c r="A75" s="46" t="s">
        <v>105</v>
      </c>
      <c r="B75" s="46" t="s">
        <v>162</v>
      </c>
      <c r="C75" s="46" t="s">
        <v>166</v>
      </c>
      <c r="D75" s="46" t="s">
        <v>173</v>
      </c>
      <c r="E75" s="46">
        <v>72939</v>
      </c>
      <c r="F75" s="46">
        <v>72939</v>
      </c>
      <c r="G75" s="46" t="s">
        <v>180</v>
      </c>
      <c r="H75" s="46">
        <v>3</v>
      </c>
      <c r="I75" s="46" t="s">
        <v>255</v>
      </c>
    </row>
    <row r="76" spans="1:9" x14ac:dyDescent="0.35">
      <c r="A76" s="46" t="s">
        <v>106</v>
      </c>
      <c r="B76" s="46" t="s">
        <v>163</v>
      </c>
      <c r="C76" s="46" t="s">
        <v>167</v>
      </c>
      <c r="D76" s="46" t="s">
        <v>172</v>
      </c>
      <c r="E76" s="46">
        <v>89333</v>
      </c>
      <c r="F76" s="46">
        <v>89333</v>
      </c>
      <c r="G76" s="46" t="s">
        <v>180</v>
      </c>
      <c r="H76" s="46">
        <v>1</v>
      </c>
      <c r="I76" s="46" t="s">
        <v>256</v>
      </c>
    </row>
    <row r="77" spans="1:9" x14ac:dyDescent="0.35">
      <c r="A77" s="46" t="s">
        <v>107</v>
      </c>
      <c r="B77" s="46" t="s">
        <v>165</v>
      </c>
      <c r="C77" s="46" t="s">
        <v>169</v>
      </c>
      <c r="D77" s="46" t="s">
        <v>176</v>
      </c>
      <c r="E77" s="46">
        <v>70470</v>
      </c>
      <c r="F77" s="46">
        <v>70470</v>
      </c>
      <c r="G77" s="46" t="s">
        <v>180</v>
      </c>
      <c r="H77" s="46" t="s">
        <v>178</v>
      </c>
      <c r="I77" s="46" t="s">
        <v>257</v>
      </c>
    </row>
    <row r="78" spans="1:9" x14ac:dyDescent="0.35">
      <c r="A78" s="46" t="s">
        <v>108</v>
      </c>
      <c r="B78" s="46" t="s">
        <v>159</v>
      </c>
      <c r="C78" s="46" t="s">
        <v>170</v>
      </c>
      <c r="D78" s="46" t="s">
        <v>173</v>
      </c>
      <c r="E78" s="46">
        <v>70096</v>
      </c>
      <c r="F78" s="46">
        <v>70096</v>
      </c>
      <c r="G78" s="46" t="s">
        <v>180</v>
      </c>
      <c r="H78" s="46">
        <v>4</v>
      </c>
      <c r="I78" s="46" t="s">
        <v>258</v>
      </c>
    </row>
    <row r="79" spans="1:9" x14ac:dyDescent="0.35">
      <c r="A79" s="46" t="s">
        <v>109</v>
      </c>
      <c r="B79" s="46" t="s">
        <v>165</v>
      </c>
      <c r="C79" s="46" t="s">
        <v>170</v>
      </c>
      <c r="D79" s="46" t="s">
        <v>178</v>
      </c>
      <c r="E79" s="46">
        <v>66344</v>
      </c>
      <c r="F79" s="46">
        <v>67279.75</v>
      </c>
      <c r="G79" s="46" t="s">
        <v>180</v>
      </c>
      <c r="H79" s="46">
        <v>2</v>
      </c>
      <c r="I79" s="46" t="s">
        <v>259</v>
      </c>
    </row>
    <row r="80" spans="1:9" x14ac:dyDescent="0.35">
      <c r="A80" s="46" t="s">
        <v>111</v>
      </c>
      <c r="B80" s="46" t="s">
        <v>160</v>
      </c>
      <c r="C80" s="46" t="s">
        <v>167</v>
      </c>
      <c r="D80" s="46" t="s">
        <v>172</v>
      </c>
      <c r="E80" s="46">
        <v>42096</v>
      </c>
      <c r="F80" s="46">
        <v>42096</v>
      </c>
      <c r="G80" s="46" t="s">
        <v>181</v>
      </c>
      <c r="H80" s="46" t="s">
        <v>178</v>
      </c>
      <c r="I80" s="46" t="s">
        <v>260</v>
      </c>
    </row>
    <row r="81" spans="1:9" x14ac:dyDescent="0.35">
      <c r="A81" s="46" t="s">
        <v>115</v>
      </c>
      <c r="B81" s="46" t="s">
        <v>159</v>
      </c>
      <c r="C81" s="46" t="s">
        <v>169</v>
      </c>
      <c r="D81" s="46" t="s">
        <v>178</v>
      </c>
      <c r="E81" s="46">
        <v>48325</v>
      </c>
      <c r="F81" s="46">
        <v>48325</v>
      </c>
      <c r="G81" s="46" t="s">
        <v>180</v>
      </c>
      <c r="H81" s="46" t="s">
        <v>178</v>
      </c>
      <c r="I81" s="46" t="s">
        <v>261</v>
      </c>
    </row>
    <row r="82" spans="1:9" x14ac:dyDescent="0.35">
      <c r="A82" s="46" t="s">
        <v>117</v>
      </c>
      <c r="B82" s="46" t="s">
        <v>163</v>
      </c>
      <c r="C82" s="46" t="s">
        <v>167</v>
      </c>
      <c r="D82" s="46" t="s">
        <v>178</v>
      </c>
      <c r="E82" s="46">
        <v>66761</v>
      </c>
      <c r="F82" s="46">
        <v>66761</v>
      </c>
      <c r="G82" s="46" t="s">
        <v>180</v>
      </c>
      <c r="H82" s="46">
        <v>1</v>
      </c>
      <c r="I82" s="46" t="s">
        <v>262</v>
      </c>
    </row>
    <row r="83" spans="1:9" x14ac:dyDescent="0.35">
      <c r="A83" s="46" t="s">
        <v>118</v>
      </c>
      <c r="B83" s="46" t="s">
        <v>162</v>
      </c>
      <c r="C83" s="46" t="s">
        <v>178</v>
      </c>
      <c r="D83" s="46" t="s">
        <v>174</v>
      </c>
      <c r="E83" s="46">
        <v>88850</v>
      </c>
      <c r="F83" s="46">
        <v>88850</v>
      </c>
      <c r="G83" s="46" t="s">
        <v>181</v>
      </c>
      <c r="H83" s="46">
        <v>1</v>
      </c>
      <c r="I83" s="46" t="s">
        <v>263</v>
      </c>
    </row>
    <row r="84" spans="1:9" x14ac:dyDescent="0.35">
      <c r="A84" s="46" t="s">
        <v>119</v>
      </c>
      <c r="B84" s="46" t="s">
        <v>164</v>
      </c>
      <c r="C84" s="46" t="s">
        <v>168</v>
      </c>
      <c r="D84" s="46" t="s">
        <v>174</v>
      </c>
      <c r="E84" s="46">
        <v>31293</v>
      </c>
      <c r="F84" s="46">
        <v>31293</v>
      </c>
      <c r="G84" s="46" t="s">
        <v>181</v>
      </c>
      <c r="H84" s="46">
        <v>2</v>
      </c>
      <c r="I84" s="46" t="s">
        <v>264</v>
      </c>
    </row>
    <row r="85" spans="1:9" x14ac:dyDescent="0.35">
      <c r="A85" s="46" t="s">
        <v>122</v>
      </c>
      <c r="B85" s="46" t="s">
        <v>160</v>
      </c>
      <c r="C85" s="46" t="s">
        <v>169</v>
      </c>
      <c r="D85" s="46" t="s">
        <v>173</v>
      </c>
      <c r="E85" s="46">
        <v>47653</v>
      </c>
      <c r="F85" s="46">
        <v>47653</v>
      </c>
      <c r="G85" s="46" t="s">
        <v>180</v>
      </c>
      <c r="H85" s="46">
        <v>1</v>
      </c>
      <c r="I85" s="46" t="s">
        <v>265</v>
      </c>
    </row>
    <row r="86" spans="1:9" x14ac:dyDescent="0.35">
      <c r="A86" s="46" t="s">
        <v>126</v>
      </c>
      <c r="B86" s="46" t="s">
        <v>165</v>
      </c>
      <c r="C86" s="46" t="s">
        <v>170</v>
      </c>
      <c r="D86" s="46" t="s">
        <v>178</v>
      </c>
      <c r="E86" s="46">
        <v>73483</v>
      </c>
      <c r="F86" s="46">
        <v>73483</v>
      </c>
      <c r="G86" s="46" t="s">
        <v>180</v>
      </c>
      <c r="H86" s="46">
        <v>1</v>
      </c>
      <c r="I86" s="46" t="s">
        <v>266</v>
      </c>
    </row>
    <row r="87" spans="1:9" x14ac:dyDescent="0.35">
      <c r="A87" s="46" t="s">
        <v>127</v>
      </c>
      <c r="B87" s="46" t="s">
        <v>164</v>
      </c>
      <c r="C87" s="46" t="s">
        <v>168</v>
      </c>
      <c r="D87" s="46" t="s">
        <v>174</v>
      </c>
      <c r="E87" s="46">
        <v>95032</v>
      </c>
      <c r="F87" s="46">
        <v>95032</v>
      </c>
      <c r="G87" s="46" t="s">
        <v>180</v>
      </c>
      <c r="H87" s="46">
        <v>3</v>
      </c>
      <c r="I87" s="46" t="s">
        <v>267</v>
      </c>
    </row>
    <row r="88" spans="1:9" x14ac:dyDescent="0.35">
      <c r="A88" s="46" t="s">
        <v>129</v>
      </c>
      <c r="B88" s="46" t="s">
        <v>178</v>
      </c>
      <c r="C88" s="46" t="s">
        <v>169</v>
      </c>
      <c r="D88" s="46" t="s">
        <v>173</v>
      </c>
      <c r="E88" s="46">
        <v>66636.333333333328</v>
      </c>
      <c r="F88" s="46">
        <v>69408.5625</v>
      </c>
      <c r="G88" s="46" t="s">
        <v>178</v>
      </c>
      <c r="H88" s="46">
        <v>5</v>
      </c>
      <c r="I88" s="46" t="s">
        <v>268</v>
      </c>
    </row>
    <row r="89" spans="1:9" x14ac:dyDescent="0.35">
      <c r="A89" s="46" t="s">
        <v>130</v>
      </c>
      <c r="B89" s="46" t="s">
        <v>164</v>
      </c>
      <c r="C89" s="46" t="s">
        <v>168</v>
      </c>
      <c r="D89" s="46" t="s">
        <v>173</v>
      </c>
      <c r="E89" s="46">
        <v>45676</v>
      </c>
      <c r="F89" s="46">
        <v>45676</v>
      </c>
      <c r="G89" s="46" t="s">
        <v>180</v>
      </c>
      <c r="H89" s="46">
        <v>2</v>
      </c>
      <c r="I89" s="46" t="s">
        <v>269</v>
      </c>
    </row>
    <row r="90" spans="1:9" x14ac:dyDescent="0.35">
      <c r="A90" s="46" t="s">
        <v>131</v>
      </c>
      <c r="B90" s="46" t="s">
        <v>165</v>
      </c>
      <c r="C90" s="46" t="s">
        <v>168</v>
      </c>
      <c r="D90" s="46" t="s">
        <v>172</v>
      </c>
      <c r="E90" s="46">
        <v>52036</v>
      </c>
      <c r="F90" s="46">
        <v>52036</v>
      </c>
      <c r="G90" s="46" t="s">
        <v>180</v>
      </c>
      <c r="H90" s="46">
        <v>3</v>
      </c>
      <c r="I90" s="46" t="s">
        <v>270</v>
      </c>
    </row>
    <row r="91" spans="1:9" x14ac:dyDescent="0.35">
      <c r="A91" s="46" t="s">
        <v>133</v>
      </c>
      <c r="B91" s="46" t="s">
        <v>161</v>
      </c>
      <c r="C91" s="46" t="s">
        <v>169</v>
      </c>
      <c r="D91" s="46" t="s">
        <v>178</v>
      </c>
      <c r="E91" s="46">
        <v>60034</v>
      </c>
      <c r="F91" s="46">
        <v>60034</v>
      </c>
      <c r="G91" s="46" t="s">
        <v>181</v>
      </c>
      <c r="H91" s="46">
        <v>1</v>
      </c>
      <c r="I91" s="46" t="s">
        <v>271</v>
      </c>
    </row>
    <row r="92" spans="1:9" x14ac:dyDescent="0.35">
      <c r="A92" s="46" t="s">
        <v>134</v>
      </c>
      <c r="B92" s="46" t="s">
        <v>161</v>
      </c>
      <c r="C92" s="46" t="s">
        <v>166</v>
      </c>
      <c r="D92" s="46" t="s">
        <v>350</v>
      </c>
      <c r="E92" s="46">
        <v>90019</v>
      </c>
      <c r="F92" s="46">
        <v>90019</v>
      </c>
      <c r="G92" s="46" t="s">
        <v>180</v>
      </c>
      <c r="H92" s="46">
        <v>5</v>
      </c>
      <c r="I92" s="46" t="s">
        <v>272</v>
      </c>
    </row>
    <row r="93" spans="1:9" x14ac:dyDescent="0.35">
      <c r="A93" s="46" t="s">
        <v>135</v>
      </c>
      <c r="B93" s="46" t="s">
        <v>165</v>
      </c>
      <c r="C93" s="46" t="s">
        <v>178</v>
      </c>
      <c r="D93" s="46" t="s">
        <v>172</v>
      </c>
      <c r="E93" s="46">
        <v>71494</v>
      </c>
      <c r="F93" s="46">
        <v>71494</v>
      </c>
      <c r="G93" s="46" t="s">
        <v>180</v>
      </c>
      <c r="H93" s="46">
        <v>3</v>
      </c>
      <c r="I93" s="46" t="s">
        <v>273</v>
      </c>
    </row>
    <row r="94" spans="1:9" x14ac:dyDescent="0.35">
      <c r="A94" s="46" t="s">
        <v>137</v>
      </c>
      <c r="B94" s="46" t="s">
        <v>164</v>
      </c>
      <c r="C94" s="46" t="s">
        <v>168</v>
      </c>
      <c r="D94" s="46" t="s">
        <v>173</v>
      </c>
      <c r="E94" s="46">
        <v>30402</v>
      </c>
      <c r="F94" s="46">
        <v>30402</v>
      </c>
      <c r="G94" s="46" t="s">
        <v>180</v>
      </c>
      <c r="H94" s="46">
        <v>1</v>
      </c>
      <c r="I94" s="46" t="s">
        <v>274</v>
      </c>
    </row>
    <row r="95" spans="1:9" x14ac:dyDescent="0.35">
      <c r="A95" s="46" t="s">
        <v>141</v>
      </c>
      <c r="B95" s="46" t="s">
        <v>159</v>
      </c>
      <c r="C95" s="46" t="s">
        <v>167</v>
      </c>
      <c r="D95" s="46" t="s">
        <v>173</v>
      </c>
      <c r="E95" s="46">
        <v>38678</v>
      </c>
      <c r="F95" s="46">
        <v>38678</v>
      </c>
      <c r="G95" s="46" t="s">
        <v>180</v>
      </c>
      <c r="H95" s="46">
        <v>3</v>
      </c>
      <c r="I95" s="46" t="s">
        <v>275</v>
      </c>
    </row>
    <row r="96" spans="1:9" x14ac:dyDescent="0.35">
      <c r="A96" s="46" t="s">
        <v>146</v>
      </c>
      <c r="B96" s="46" t="s">
        <v>164</v>
      </c>
      <c r="C96" s="46" t="s">
        <v>167</v>
      </c>
      <c r="D96" s="46" t="s">
        <v>172</v>
      </c>
      <c r="E96" s="46">
        <v>84968</v>
      </c>
      <c r="F96" s="46">
        <v>84968</v>
      </c>
      <c r="G96" s="46" t="s">
        <v>180</v>
      </c>
      <c r="H96" s="46" t="s">
        <v>178</v>
      </c>
      <c r="I96" s="46" t="s">
        <v>276</v>
      </c>
    </row>
    <row r="97" spans="1:9" x14ac:dyDescent="0.35">
      <c r="A97" s="46" t="s">
        <v>152</v>
      </c>
      <c r="B97" s="46" t="s">
        <v>164</v>
      </c>
      <c r="C97" s="46" t="s">
        <v>168</v>
      </c>
      <c r="D97" s="46" t="s">
        <v>175</v>
      </c>
      <c r="E97" s="46">
        <v>91620</v>
      </c>
      <c r="F97" s="46">
        <v>91620</v>
      </c>
      <c r="G97" s="46" t="s">
        <v>180</v>
      </c>
      <c r="H97" s="46" t="s">
        <v>178</v>
      </c>
      <c r="I97" s="46" t="s">
        <v>277</v>
      </c>
    </row>
    <row r="98" spans="1:9" x14ac:dyDescent="0.35">
      <c r="A98" s="46" t="s">
        <v>153</v>
      </c>
      <c r="B98" s="46" t="s">
        <v>159</v>
      </c>
      <c r="C98" s="46" t="s">
        <v>178</v>
      </c>
      <c r="D98" s="46" t="s">
        <v>178</v>
      </c>
      <c r="E98" s="46">
        <v>94148</v>
      </c>
      <c r="F98" s="46">
        <v>94148</v>
      </c>
      <c r="G98" s="46" t="s">
        <v>180</v>
      </c>
      <c r="H98" s="46">
        <v>2</v>
      </c>
      <c r="I98" s="46" t="s">
        <v>278</v>
      </c>
    </row>
    <row r="99" spans="1:9" x14ac:dyDescent="0.35">
      <c r="A99" s="46" t="s">
        <v>156</v>
      </c>
      <c r="B99" s="46" t="s">
        <v>165</v>
      </c>
      <c r="C99" s="46" t="s">
        <v>168</v>
      </c>
      <c r="D99" s="46" t="s">
        <v>176</v>
      </c>
      <c r="E99" s="46">
        <v>65270</v>
      </c>
      <c r="F99" s="46">
        <v>65270</v>
      </c>
      <c r="G99" s="46" t="s">
        <v>180</v>
      </c>
      <c r="H99" s="46">
        <v>1</v>
      </c>
      <c r="I99" s="46" t="s">
        <v>279</v>
      </c>
    </row>
    <row r="100" spans="1:9" x14ac:dyDescent="0.35">
      <c r="A100" s="46" t="s">
        <v>158</v>
      </c>
      <c r="B100" s="46" t="s">
        <v>163</v>
      </c>
      <c r="C100" s="46" t="s">
        <v>170</v>
      </c>
      <c r="D100" s="46" t="s">
        <v>174</v>
      </c>
      <c r="E100" s="46">
        <v>98475</v>
      </c>
      <c r="F100" s="46">
        <v>98475</v>
      </c>
      <c r="G100" s="46" t="s">
        <v>180</v>
      </c>
      <c r="H100" s="46">
        <v>5</v>
      </c>
      <c r="I100" s="46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opLeftCell="F1" workbookViewId="0">
      <selection activeCell="P12" sqref="P12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style="82" bestFit="1" customWidth="1"/>
    <col min="4" max="4" width="12.08984375" bestFit="1" customWidth="1"/>
    <col min="5" max="5" width="10.36328125" bestFit="1" customWidth="1"/>
    <col min="6" max="6" width="17.81640625" style="86" bestFit="1" customWidth="1"/>
    <col min="7" max="7" width="17.81640625" bestFit="1" customWidth="1"/>
    <col min="8" max="8" width="13.7265625" customWidth="1"/>
    <col min="9" max="9" width="16.90625" bestFit="1" customWidth="1"/>
    <col min="10" max="10" width="18.26953125" bestFit="1" customWidth="1"/>
    <col min="11" max="11" width="13.90625" style="85" customWidth="1"/>
    <col min="12" max="12" width="9.7265625" style="82" bestFit="1" customWidth="1"/>
  </cols>
  <sheetData>
    <row r="1" spans="1:17" x14ac:dyDescent="0.35">
      <c r="A1" s="77" t="s">
        <v>0</v>
      </c>
      <c r="B1" s="78" t="s">
        <v>1</v>
      </c>
      <c r="C1" s="81" t="s">
        <v>354</v>
      </c>
      <c r="D1" s="78" t="s">
        <v>2</v>
      </c>
      <c r="E1" s="78" t="s">
        <v>3</v>
      </c>
      <c r="F1" s="87" t="s">
        <v>4</v>
      </c>
      <c r="G1" s="79" t="s">
        <v>5</v>
      </c>
      <c r="H1" s="78" t="s">
        <v>6</v>
      </c>
      <c r="I1" s="78" t="s">
        <v>7</v>
      </c>
      <c r="J1" s="78" t="s">
        <v>8</v>
      </c>
      <c r="K1" s="83" t="s">
        <v>353</v>
      </c>
      <c r="L1" s="81" t="s">
        <v>369</v>
      </c>
    </row>
    <row r="2" spans="1:17" ht="18.5" x14ac:dyDescent="0.45">
      <c r="A2" t="s">
        <v>9</v>
      </c>
      <c r="B2" t="s">
        <v>178</v>
      </c>
      <c r="C2" s="82" t="s">
        <v>178</v>
      </c>
      <c r="D2" t="s">
        <v>166</v>
      </c>
      <c r="E2" t="s">
        <v>171</v>
      </c>
      <c r="F2" s="76" t="s">
        <v>177</v>
      </c>
      <c r="G2" s="80">
        <v>42014</v>
      </c>
      <c r="H2">
        <v>2</v>
      </c>
      <c r="I2" t="s">
        <v>178</v>
      </c>
      <c r="J2" t="s">
        <v>182</v>
      </c>
      <c r="K2" s="84">
        <v>0</v>
      </c>
      <c r="L2" s="82" t="str">
        <f t="shared" ref="L2:L33" si="0">TRIM(D2)</f>
        <v>Finance</v>
      </c>
      <c r="N2" s="88" t="s">
        <v>370</v>
      </c>
      <c r="O2" s="89"/>
    </row>
    <row r="3" spans="1:17" x14ac:dyDescent="0.35">
      <c r="A3" t="s">
        <v>10</v>
      </c>
      <c r="B3" t="s">
        <v>355</v>
      </c>
      <c r="C3" s="82" t="s">
        <v>356</v>
      </c>
      <c r="D3" t="s">
        <v>167</v>
      </c>
      <c r="E3" t="s">
        <v>172</v>
      </c>
      <c r="F3" s="76">
        <v>54255</v>
      </c>
      <c r="G3" s="80">
        <v>42015</v>
      </c>
      <c r="H3">
        <v>1</v>
      </c>
      <c r="I3" t="s">
        <v>179</v>
      </c>
      <c r="J3" t="s">
        <v>183</v>
      </c>
      <c r="K3" s="84">
        <v>0</v>
      </c>
      <c r="L3" s="82" t="str">
        <f t="shared" si="0"/>
        <v>HR</v>
      </c>
    </row>
    <row r="4" spans="1:17" x14ac:dyDescent="0.35">
      <c r="A4" t="s">
        <v>11</v>
      </c>
      <c r="B4" t="s">
        <v>357</v>
      </c>
      <c r="C4" s="82" t="s">
        <v>358</v>
      </c>
      <c r="D4" t="s">
        <v>166</v>
      </c>
      <c r="E4" t="s">
        <v>172</v>
      </c>
      <c r="F4" s="76">
        <v>63184</v>
      </c>
      <c r="G4" s="80">
        <v>42022</v>
      </c>
      <c r="H4">
        <v>2</v>
      </c>
      <c r="I4" t="s">
        <v>178</v>
      </c>
      <c r="J4" t="s">
        <v>184</v>
      </c>
      <c r="K4" s="84">
        <v>0</v>
      </c>
      <c r="L4" s="82" t="str">
        <f t="shared" si="0"/>
        <v>Finance</v>
      </c>
      <c r="N4" s="89" t="s">
        <v>371</v>
      </c>
      <c r="O4" s="89"/>
      <c r="P4" s="89"/>
      <c r="Q4" s="89"/>
    </row>
    <row r="5" spans="1:17" x14ac:dyDescent="0.35">
      <c r="A5" t="s">
        <v>12</v>
      </c>
      <c r="B5" t="s">
        <v>359</v>
      </c>
      <c r="C5" s="82" t="s">
        <v>360</v>
      </c>
      <c r="D5" t="s">
        <v>168</v>
      </c>
      <c r="E5" t="s">
        <v>173</v>
      </c>
      <c r="F5" s="76">
        <v>94406</v>
      </c>
      <c r="G5" s="80">
        <v>42029</v>
      </c>
      <c r="H5">
        <v>1</v>
      </c>
      <c r="I5" t="s">
        <v>180</v>
      </c>
      <c r="J5" t="s">
        <v>185</v>
      </c>
      <c r="K5" s="84">
        <v>0</v>
      </c>
      <c r="L5" s="82" t="str">
        <f t="shared" si="0"/>
        <v>Sales</v>
      </c>
      <c r="N5" s="89" t="s">
        <v>372</v>
      </c>
      <c r="O5" s="89"/>
      <c r="P5" s="89"/>
      <c r="Q5" s="89"/>
    </row>
    <row r="6" spans="1:17" x14ac:dyDescent="0.35">
      <c r="A6" t="s">
        <v>13</v>
      </c>
      <c r="B6" t="s">
        <v>361</v>
      </c>
      <c r="C6" s="82" t="s">
        <v>362</v>
      </c>
      <c r="D6" t="s">
        <v>168</v>
      </c>
      <c r="E6" t="s">
        <v>172</v>
      </c>
      <c r="F6" s="76">
        <v>64120</v>
      </c>
      <c r="G6" s="80">
        <v>42036</v>
      </c>
      <c r="H6">
        <v>1</v>
      </c>
      <c r="I6" t="s">
        <v>180</v>
      </c>
      <c r="J6" t="s">
        <v>186</v>
      </c>
      <c r="K6" s="84">
        <v>0</v>
      </c>
      <c r="L6" s="82" t="str">
        <f t="shared" si="0"/>
        <v>Sales</v>
      </c>
      <c r="N6" s="89" t="s">
        <v>373</v>
      </c>
      <c r="O6" s="89"/>
      <c r="P6" s="89"/>
      <c r="Q6" s="89"/>
    </row>
    <row r="7" spans="1:17" x14ac:dyDescent="0.35">
      <c r="A7" t="s">
        <v>14</v>
      </c>
      <c r="B7" t="s">
        <v>357</v>
      </c>
      <c r="C7" s="82" t="s">
        <v>358</v>
      </c>
      <c r="D7" t="s">
        <v>169</v>
      </c>
      <c r="E7" t="s">
        <v>174</v>
      </c>
      <c r="F7" s="76">
        <v>78421</v>
      </c>
      <c r="G7" s="80">
        <v>42043</v>
      </c>
      <c r="H7">
        <v>2</v>
      </c>
      <c r="I7" t="s">
        <v>181</v>
      </c>
      <c r="J7" t="s">
        <v>187</v>
      </c>
      <c r="K7" s="84">
        <v>0</v>
      </c>
      <c r="L7" s="82" t="str">
        <f t="shared" si="0"/>
        <v>IT</v>
      </c>
    </row>
    <row r="8" spans="1:17" x14ac:dyDescent="0.35">
      <c r="A8" t="s">
        <v>15</v>
      </c>
      <c r="B8" t="s">
        <v>363</v>
      </c>
      <c r="C8" s="82" t="s">
        <v>364</v>
      </c>
      <c r="D8" t="s">
        <v>168</v>
      </c>
      <c r="E8" t="s">
        <v>178</v>
      </c>
      <c r="F8" s="76">
        <v>67721</v>
      </c>
      <c r="G8" s="80">
        <v>42050</v>
      </c>
      <c r="H8">
        <v>3</v>
      </c>
      <c r="I8" t="s">
        <v>180</v>
      </c>
      <c r="J8" t="s">
        <v>185</v>
      </c>
      <c r="K8" s="84">
        <v>0</v>
      </c>
      <c r="L8" s="82" t="str">
        <f t="shared" si="0"/>
        <v>Sales</v>
      </c>
    </row>
    <row r="9" spans="1:17" x14ac:dyDescent="0.35">
      <c r="A9" t="s">
        <v>16</v>
      </c>
      <c r="B9" t="s">
        <v>365</v>
      </c>
      <c r="C9" s="82" t="s">
        <v>366</v>
      </c>
      <c r="D9" t="s">
        <v>170</v>
      </c>
      <c r="E9" t="s">
        <v>178</v>
      </c>
      <c r="F9" s="76">
        <v>35364</v>
      </c>
      <c r="G9" s="80">
        <v>42057</v>
      </c>
      <c r="H9">
        <v>2</v>
      </c>
      <c r="I9" t="s">
        <v>179</v>
      </c>
      <c r="J9" t="s">
        <v>188</v>
      </c>
      <c r="K9" s="84">
        <v>0</v>
      </c>
      <c r="L9" s="82" t="str">
        <f t="shared" si="0"/>
        <v>Marketing</v>
      </c>
    </row>
    <row r="10" spans="1:17" x14ac:dyDescent="0.35">
      <c r="A10" t="s">
        <v>17</v>
      </c>
      <c r="B10" t="s">
        <v>357</v>
      </c>
      <c r="C10" s="82" t="s">
        <v>358</v>
      </c>
      <c r="D10" t="s">
        <v>169</v>
      </c>
      <c r="E10" t="s">
        <v>172</v>
      </c>
      <c r="F10" s="76">
        <v>97881</v>
      </c>
      <c r="G10" s="80">
        <v>42064</v>
      </c>
      <c r="H10">
        <v>3</v>
      </c>
      <c r="I10" t="s">
        <v>181</v>
      </c>
      <c r="J10" t="s">
        <v>189</v>
      </c>
      <c r="K10" s="84">
        <v>0</v>
      </c>
      <c r="L10" s="82" t="str">
        <f t="shared" si="0"/>
        <v>IT</v>
      </c>
    </row>
    <row r="11" spans="1:17" x14ac:dyDescent="0.35">
      <c r="A11" t="s">
        <v>18</v>
      </c>
      <c r="B11" t="s">
        <v>365</v>
      </c>
      <c r="C11" s="82" t="s">
        <v>366</v>
      </c>
      <c r="D11" t="s">
        <v>167</v>
      </c>
      <c r="E11" t="s">
        <v>175</v>
      </c>
      <c r="F11" s="76">
        <v>91846</v>
      </c>
      <c r="G11" s="80">
        <v>42071</v>
      </c>
      <c r="H11">
        <v>3</v>
      </c>
      <c r="I11" t="s">
        <v>180</v>
      </c>
      <c r="J11" t="s">
        <v>190</v>
      </c>
      <c r="K11" s="84">
        <v>0</v>
      </c>
      <c r="L11" s="82" t="str">
        <f t="shared" si="0"/>
        <v>HR</v>
      </c>
    </row>
    <row r="12" spans="1:17" x14ac:dyDescent="0.35">
      <c r="A12" t="s">
        <v>19</v>
      </c>
      <c r="B12" t="s">
        <v>363</v>
      </c>
      <c r="C12" s="82" t="s">
        <v>364</v>
      </c>
      <c r="D12" t="s">
        <v>166</v>
      </c>
      <c r="E12" t="s">
        <v>175</v>
      </c>
      <c r="F12" s="76">
        <v>64247</v>
      </c>
      <c r="G12" s="80">
        <v>42078</v>
      </c>
      <c r="H12">
        <v>1</v>
      </c>
      <c r="I12" t="s">
        <v>181</v>
      </c>
      <c r="J12" t="s">
        <v>191</v>
      </c>
      <c r="K12" s="84">
        <v>0</v>
      </c>
      <c r="L12" s="82" t="str">
        <f t="shared" si="0"/>
        <v>Finance</v>
      </c>
    </row>
    <row r="13" spans="1:17" x14ac:dyDescent="0.35">
      <c r="A13" t="s">
        <v>20</v>
      </c>
      <c r="B13" t="s">
        <v>363</v>
      </c>
      <c r="C13" s="82" t="s">
        <v>364</v>
      </c>
      <c r="D13" t="s">
        <v>169</v>
      </c>
      <c r="E13" t="s">
        <v>173</v>
      </c>
      <c r="F13" s="76">
        <v>91180</v>
      </c>
      <c r="G13" s="80">
        <v>42085</v>
      </c>
      <c r="H13">
        <v>5</v>
      </c>
      <c r="I13" t="s">
        <v>180</v>
      </c>
      <c r="J13" t="s">
        <v>192</v>
      </c>
      <c r="K13" s="84">
        <v>0</v>
      </c>
      <c r="L13" s="82" t="str">
        <f t="shared" si="0"/>
        <v>IT</v>
      </c>
    </row>
    <row r="14" spans="1:17" x14ac:dyDescent="0.35">
      <c r="A14" t="s">
        <v>21</v>
      </c>
      <c r="B14" t="s">
        <v>367</v>
      </c>
      <c r="C14" s="82" t="s">
        <v>368</v>
      </c>
      <c r="D14" t="s">
        <v>168</v>
      </c>
      <c r="E14" t="s">
        <v>178</v>
      </c>
      <c r="F14" s="76">
        <v>96418</v>
      </c>
      <c r="G14" s="80">
        <v>42092</v>
      </c>
      <c r="H14">
        <v>5</v>
      </c>
      <c r="I14" t="s">
        <v>180</v>
      </c>
      <c r="J14" t="s">
        <v>183</v>
      </c>
      <c r="K14" s="84">
        <v>0</v>
      </c>
      <c r="L14" s="82" t="str">
        <f t="shared" si="0"/>
        <v>Sales</v>
      </c>
    </row>
    <row r="15" spans="1:17" x14ac:dyDescent="0.35">
      <c r="A15" t="s">
        <v>22</v>
      </c>
      <c r="B15" t="s">
        <v>363</v>
      </c>
      <c r="C15" s="82" t="s">
        <v>364</v>
      </c>
      <c r="D15" t="s">
        <v>178</v>
      </c>
      <c r="E15" t="s">
        <v>174</v>
      </c>
      <c r="F15" s="76">
        <v>62158</v>
      </c>
      <c r="G15" s="80">
        <v>42099</v>
      </c>
      <c r="H15">
        <v>4</v>
      </c>
      <c r="I15" t="s">
        <v>178</v>
      </c>
      <c r="J15" t="s">
        <v>193</v>
      </c>
      <c r="K15" s="84">
        <v>0</v>
      </c>
      <c r="L15" s="82" t="str">
        <f t="shared" si="0"/>
        <v>Unknown</v>
      </c>
    </row>
    <row r="16" spans="1:17" x14ac:dyDescent="0.35">
      <c r="A16" t="s">
        <v>23</v>
      </c>
      <c r="B16" t="s">
        <v>361</v>
      </c>
      <c r="C16" s="82" t="s">
        <v>362</v>
      </c>
      <c r="D16" t="s">
        <v>167</v>
      </c>
      <c r="E16" t="s">
        <v>178</v>
      </c>
      <c r="F16" s="76">
        <v>59894</v>
      </c>
      <c r="G16" s="80">
        <v>42106</v>
      </c>
      <c r="H16">
        <v>2</v>
      </c>
      <c r="I16" t="s">
        <v>180</v>
      </c>
      <c r="J16" t="s">
        <v>194</v>
      </c>
      <c r="K16" s="84">
        <v>0</v>
      </c>
      <c r="L16" s="82" t="str">
        <f t="shared" si="0"/>
        <v>HR</v>
      </c>
    </row>
    <row r="17" spans="1:12" x14ac:dyDescent="0.35">
      <c r="A17" t="s">
        <v>24</v>
      </c>
      <c r="B17" t="s">
        <v>178</v>
      </c>
      <c r="C17" s="82" t="s">
        <v>178</v>
      </c>
      <c r="D17" t="s">
        <v>169</v>
      </c>
      <c r="E17" t="s">
        <v>174</v>
      </c>
      <c r="F17" s="76">
        <v>92443</v>
      </c>
      <c r="G17" s="80">
        <v>42113</v>
      </c>
      <c r="H17">
        <v>3</v>
      </c>
      <c r="I17" t="s">
        <v>179</v>
      </c>
      <c r="J17" t="s">
        <v>195</v>
      </c>
      <c r="K17" s="84">
        <v>0</v>
      </c>
      <c r="L17" s="82" t="str">
        <f t="shared" si="0"/>
        <v>IT</v>
      </c>
    </row>
    <row r="18" spans="1:12" x14ac:dyDescent="0.35">
      <c r="A18" t="s">
        <v>25</v>
      </c>
      <c r="B18" t="s">
        <v>367</v>
      </c>
      <c r="C18" s="82" t="s">
        <v>368</v>
      </c>
      <c r="D18" t="s">
        <v>178</v>
      </c>
      <c r="E18" t="s">
        <v>172</v>
      </c>
      <c r="F18" s="76">
        <v>90271</v>
      </c>
      <c r="G18" s="80">
        <v>42120</v>
      </c>
      <c r="H18">
        <v>3</v>
      </c>
      <c r="I18" t="s">
        <v>178</v>
      </c>
      <c r="J18" t="s">
        <v>196</v>
      </c>
      <c r="K18" s="84">
        <v>0</v>
      </c>
      <c r="L18" s="82" t="str">
        <f t="shared" si="0"/>
        <v>Unknown</v>
      </c>
    </row>
    <row r="19" spans="1:12" x14ac:dyDescent="0.35">
      <c r="A19" t="s">
        <v>26</v>
      </c>
      <c r="B19" t="s">
        <v>361</v>
      </c>
      <c r="C19" s="82" t="s">
        <v>362</v>
      </c>
      <c r="D19" t="s">
        <v>166</v>
      </c>
      <c r="E19" t="s">
        <v>176</v>
      </c>
      <c r="F19" s="76">
        <v>41341</v>
      </c>
      <c r="G19" s="80">
        <v>42127</v>
      </c>
      <c r="H19">
        <v>1</v>
      </c>
      <c r="I19" t="s">
        <v>179</v>
      </c>
      <c r="J19" t="s">
        <v>197</v>
      </c>
      <c r="K19" s="84">
        <v>0</v>
      </c>
      <c r="L19" s="82" t="str">
        <f t="shared" si="0"/>
        <v>Finance</v>
      </c>
    </row>
    <row r="20" spans="1:12" x14ac:dyDescent="0.35">
      <c r="A20" t="s">
        <v>27</v>
      </c>
      <c r="B20" t="s">
        <v>357</v>
      </c>
      <c r="C20" s="82" t="s">
        <v>358</v>
      </c>
      <c r="D20" t="s">
        <v>166</v>
      </c>
      <c r="E20" t="s">
        <v>175</v>
      </c>
      <c r="F20" s="76">
        <v>73602</v>
      </c>
      <c r="G20" s="80">
        <v>42134</v>
      </c>
      <c r="H20">
        <v>3</v>
      </c>
      <c r="I20" t="s">
        <v>178</v>
      </c>
      <c r="J20" t="s">
        <v>198</v>
      </c>
      <c r="K20" s="84">
        <v>0</v>
      </c>
      <c r="L20" s="82" t="str">
        <f t="shared" si="0"/>
        <v>Finance</v>
      </c>
    </row>
    <row r="21" spans="1:12" x14ac:dyDescent="0.35">
      <c r="A21" t="s">
        <v>28</v>
      </c>
      <c r="B21" t="s">
        <v>355</v>
      </c>
      <c r="C21" s="82" t="s">
        <v>356</v>
      </c>
      <c r="D21" t="s">
        <v>178</v>
      </c>
      <c r="E21" t="s">
        <v>174</v>
      </c>
      <c r="F21" s="76">
        <v>67531</v>
      </c>
      <c r="G21" s="80">
        <v>42141</v>
      </c>
      <c r="H21">
        <v>5</v>
      </c>
      <c r="I21" t="s">
        <v>181</v>
      </c>
      <c r="J21" t="s">
        <v>199</v>
      </c>
      <c r="K21" s="84">
        <v>0</v>
      </c>
      <c r="L21" s="82" t="str">
        <f t="shared" si="0"/>
        <v>Unknown</v>
      </c>
    </row>
    <row r="22" spans="1:12" x14ac:dyDescent="0.35">
      <c r="A22" t="s">
        <v>29</v>
      </c>
      <c r="B22" t="s">
        <v>361</v>
      </c>
      <c r="C22" s="82" t="s">
        <v>362</v>
      </c>
      <c r="D22" t="s">
        <v>167</v>
      </c>
      <c r="E22" t="s">
        <v>173</v>
      </c>
      <c r="F22" s="76" t="s">
        <v>177</v>
      </c>
      <c r="G22" s="80">
        <v>42148</v>
      </c>
      <c r="H22">
        <v>2</v>
      </c>
      <c r="I22" t="s">
        <v>179</v>
      </c>
      <c r="J22" t="s">
        <v>200</v>
      </c>
      <c r="K22" s="84">
        <v>0</v>
      </c>
      <c r="L22" s="82" t="str">
        <f t="shared" si="0"/>
        <v>HR</v>
      </c>
    </row>
    <row r="23" spans="1:12" x14ac:dyDescent="0.35">
      <c r="A23" t="s">
        <v>30</v>
      </c>
      <c r="B23" t="s">
        <v>361</v>
      </c>
      <c r="C23" s="82" t="s">
        <v>362</v>
      </c>
      <c r="D23" t="s">
        <v>167</v>
      </c>
      <c r="E23" t="s">
        <v>178</v>
      </c>
      <c r="F23" s="76">
        <v>98922</v>
      </c>
      <c r="G23" s="80">
        <v>42155</v>
      </c>
      <c r="H23">
        <v>4</v>
      </c>
      <c r="I23" t="s">
        <v>178</v>
      </c>
      <c r="J23" t="s">
        <v>201</v>
      </c>
      <c r="K23" s="84">
        <v>0</v>
      </c>
      <c r="L23" s="82" t="str">
        <f t="shared" si="0"/>
        <v>HR</v>
      </c>
    </row>
    <row r="24" spans="1:12" x14ac:dyDescent="0.35">
      <c r="A24" t="s">
        <v>31</v>
      </c>
      <c r="B24" t="s">
        <v>355</v>
      </c>
      <c r="C24" s="82" t="s">
        <v>356</v>
      </c>
      <c r="D24" t="s">
        <v>166</v>
      </c>
      <c r="E24" t="s">
        <v>174</v>
      </c>
      <c r="F24" s="76">
        <v>38333</v>
      </c>
      <c r="G24" s="80">
        <v>42162</v>
      </c>
      <c r="H24">
        <v>5</v>
      </c>
      <c r="I24" t="s">
        <v>178</v>
      </c>
      <c r="J24" t="s">
        <v>202</v>
      </c>
      <c r="K24" s="84">
        <v>0</v>
      </c>
      <c r="L24" s="82" t="str">
        <f t="shared" si="0"/>
        <v>Finance</v>
      </c>
    </row>
    <row r="25" spans="1:12" x14ac:dyDescent="0.35">
      <c r="A25" t="s">
        <v>32</v>
      </c>
      <c r="B25" t="s">
        <v>357</v>
      </c>
      <c r="C25" s="82" t="s">
        <v>358</v>
      </c>
      <c r="D25" t="s">
        <v>170</v>
      </c>
      <c r="E25" t="s">
        <v>175</v>
      </c>
      <c r="F25" s="76">
        <v>36515</v>
      </c>
      <c r="G25" s="80">
        <v>42169</v>
      </c>
      <c r="H25">
        <v>3</v>
      </c>
      <c r="I25" t="s">
        <v>180</v>
      </c>
      <c r="J25" t="s">
        <v>203</v>
      </c>
      <c r="K25" s="84">
        <v>0</v>
      </c>
      <c r="L25" s="82" t="str">
        <f t="shared" si="0"/>
        <v>Marketing</v>
      </c>
    </row>
    <row r="26" spans="1:12" x14ac:dyDescent="0.35">
      <c r="A26" t="s">
        <v>33</v>
      </c>
      <c r="B26" t="s">
        <v>363</v>
      </c>
      <c r="C26" s="82" t="s">
        <v>364</v>
      </c>
      <c r="D26" t="s">
        <v>166</v>
      </c>
      <c r="E26" t="s">
        <v>178</v>
      </c>
      <c r="F26" s="76">
        <v>91005</v>
      </c>
      <c r="G26" s="80">
        <v>42176</v>
      </c>
      <c r="H26">
        <v>1</v>
      </c>
      <c r="I26" t="s">
        <v>179</v>
      </c>
      <c r="J26" t="s">
        <v>204</v>
      </c>
      <c r="K26" s="84">
        <v>0</v>
      </c>
      <c r="L26" s="82" t="str">
        <f t="shared" si="0"/>
        <v>Finance</v>
      </c>
    </row>
    <row r="27" spans="1:12" x14ac:dyDescent="0.35">
      <c r="A27" t="s">
        <v>34</v>
      </c>
      <c r="B27" t="s">
        <v>365</v>
      </c>
      <c r="C27" s="82" t="s">
        <v>366</v>
      </c>
      <c r="D27" t="s">
        <v>178</v>
      </c>
      <c r="E27" t="s">
        <v>171</v>
      </c>
      <c r="F27" s="76">
        <v>52272</v>
      </c>
      <c r="G27" s="80">
        <v>42183</v>
      </c>
      <c r="H27">
        <v>3</v>
      </c>
      <c r="I27" t="s">
        <v>178</v>
      </c>
      <c r="J27" t="s">
        <v>205</v>
      </c>
      <c r="K27" s="84">
        <v>0</v>
      </c>
      <c r="L27" s="82" t="str">
        <f t="shared" si="0"/>
        <v>Unknown</v>
      </c>
    </row>
    <row r="28" spans="1:12" x14ac:dyDescent="0.35">
      <c r="A28" t="s">
        <v>35</v>
      </c>
      <c r="B28" t="s">
        <v>355</v>
      </c>
      <c r="C28" s="82" t="s">
        <v>356</v>
      </c>
      <c r="D28" t="s">
        <v>168</v>
      </c>
      <c r="E28" t="s">
        <v>172</v>
      </c>
      <c r="F28" s="76">
        <v>76518</v>
      </c>
      <c r="G28" s="80">
        <v>42190</v>
      </c>
      <c r="H28">
        <v>2</v>
      </c>
      <c r="I28" t="s">
        <v>181</v>
      </c>
      <c r="J28" t="s">
        <v>206</v>
      </c>
      <c r="K28" s="84">
        <v>0</v>
      </c>
      <c r="L28" s="82" t="str">
        <f t="shared" si="0"/>
        <v>Sales</v>
      </c>
    </row>
    <row r="29" spans="1:12" x14ac:dyDescent="0.35">
      <c r="A29" t="s">
        <v>36</v>
      </c>
      <c r="B29" t="s">
        <v>357</v>
      </c>
      <c r="C29" s="82" t="s">
        <v>358</v>
      </c>
      <c r="D29" t="s">
        <v>169</v>
      </c>
      <c r="E29" t="s">
        <v>175</v>
      </c>
      <c r="F29" s="76">
        <v>41448</v>
      </c>
      <c r="G29" s="80">
        <v>42197</v>
      </c>
      <c r="H29">
        <v>3</v>
      </c>
      <c r="I29" t="s">
        <v>179</v>
      </c>
      <c r="J29" t="s">
        <v>207</v>
      </c>
      <c r="K29" s="84">
        <v>0</v>
      </c>
      <c r="L29" s="82" t="str">
        <f t="shared" si="0"/>
        <v>IT</v>
      </c>
    </row>
    <row r="30" spans="1:12" x14ac:dyDescent="0.35">
      <c r="A30" t="s">
        <v>37</v>
      </c>
      <c r="B30" t="s">
        <v>359</v>
      </c>
      <c r="C30" s="82" t="s">
        <v>360</v>
      </c>
      <c r="D30" t="s">
        <v>167</v>
      </c>
      <c r="E30" t="s">
        <v>175</v>
      </c>
      <c r="F30" s="76">
        <v>49282</v>
      </c>
      <c r="G30" s="80">
        <v>42204</v>
      </c>
      <c r="H30">
        <v>2</v>
      </c>
      <c r="I30" t="s">
        <v>181</v>
      </c>
      <c r="J30" t="s">
        <v>208</v>
      </c>
      <c r="K30" s="84">
        <v>0</v>
      </c>
      <c r="L30" s="82" t="str">
        <f t="shared" si="0"/>
        <v>HR</v>
      </c>
    </row>
    <row r="31" spans="1:12" x14ac:dyDescent="0.35">
      <c r="A31" t="s">
        <v>38</v>
      </c>
      <c r="B31" t="s">
        <v>367</v>
      </c>
      <c r="C31" s="82" t="s">
        <v>368</v>
      </c>
      <c r="D31" t="s">
        <v>170</v>
      </c>
      <c r="E31" t="s">
        <v>175</v>
      </c>
      <c r="F31" s="76">
        <v>92959</v>
      </c>
      <c r="G31" s="80">
        <v>42211</v>
      </c>
      <c r="H31">
        <v>5</v>
      </c>
      <c r="I31" t="s">
        <v>178</v>
      </c>
      <c r="J31" t="s">
        <v>209</v>
      </c>
      <c r="K31" s="84">
        <v>0</v>
      </c>
      <c r="L31" s="82" t="str">
        <f t="shared" si="0"/>
        <v>Marketing</v>
      </c>
    </row>
    <row r="32" spans="1:12" x14ac:dyDescent="0.35">
      <c r="A32" t="s">
        <v>39</v>
      </c>
      <c r="B32" t="s">
        <v>178</v>
      </c>
      <c r="C32"/>
      <c r="D32" t="s">
        <v>170</v>
      </c>
      <c r="E32" t="s">
        <v>178</v>
      </c>
      <c r="F32" s="76">
        <v>92259</v>
      </c>
      <c r="G32" s="80" t="s">
        <v>351</v>
      </c>
      <c r="H32">
        <v>1</v>
      </c>
      <c r="I32" t="s">
        <v>178</v>
      </c>
      <c r="J32" t="s">
        <v>210</v>
      </c>
      <c r="K32" s="84" t="s">
        <v>352</v>
      </c>
      <c r="L32" s="82" t="str">
        <f t="shared" si="0"/>
        <v>Marketing</v>
      </c>
    </row>
    <row r="33" spans="1:12" x14ac:dyDescent="0.35">
      <c r="A33" t="s">
        <v>40</v>
      </c>
      <c r="B33" t="s">
        <v>355</v>
      </c>
      <c r="C33" s="82" t="s">
        <v>356</v>
      </c>
      <c r="D33" t="s">
        <v>167</v>
      </c>
      <c r="E33" t="s">
        <v>172</v>
      </c>
      <c r="F33" s="76">
        <v>92299</v>
      </c>
      <c r="G33" s="80">
        <v>42225</v>
      </c>
      <c r="H33">
        <v>3</v>
      </c>
      <c r="I33" t="s">
        <v>180</v>
      </c>
      <c r="J33" t="s">
        <v>211</v>
      </c>
      <c r="K33" s="84">
        <v>0</v>
      </c>
      <c r="L33" s="82" t="str">
        <f t="shared" si="0"/>
        <v>HR</v>
      </c>
    </row>
    <row r="34" spans="1:12" x14ac:dyDescent="0.35">
      <c r="A34" t="s">
        <v>41</v>
      </c>
      <c r="B34" t="s">
        <v>363</v>
      </c>
      <c r="C34" s="82" t="s">
        <v>364</v>
      </c>
      <c r="D34" t="s">
        <v>167</v>
      </c>
      <c r="E34" t="s">
        <v>178</v>
      </c>
      <c r="F34" s="76">
        <v>95586</v>
      </c>
      <c r="G34" s="80">
        <v>42232</v>
      </c>
      <c r="H34">
        <v>3</v>
      </c>
      <c r="I34" t="s">
        <v>179</v>
      </c>
      <c r="J34" t="s">
        <v>212</v>
      </c>
      <c r="K34" s="84">
        <v>0</v>
      </c>
      <c r="L34" s="82" t="str">
        <f t="shared" ref="L34:L65" si="1">TRIM(D34)</f>
        <v>HR</v>
      </c>
    </row>
    <row r="35" spans="1:12" x14ac:dyDescent="0.35">
      <c r="A35" t="s">
        <v>42</v>
      </c>
      <c r="B35" t="s">
        <v>365</v>
      </c>
      <c r="C35" s="82" t="s">
        <v>366</v>
      </c>
      <c r="D35" t="s">
        <v>178</v>
      </c>
      <c r="E35" t="s">
        <v>173</v>
      </c>
      <c r="F35" s="76">
        <v>95367</v>
      </c>
      <c r="G35" s="80">
        <v>42239</v>
      </c>
      <c r="H35">
        <v>3</v>
      </c>
      <c r="I35" t="s">
        <v>180</v>
      </c>
      <c r="J35" t="s">
        <v>213</v>
      </c>
      <c r="K35" s="84">
        <v>0</v>
      </c>
      <c r="L35" s="82" t="str">
        <f t="shared" si="1"/>
        <v>Unknown</v>
      </c>
    </row>
    <row r="36" spans="1:12" x14ac:dyDescent="0.35">
      <c r="A36" t="s">
        <v>43</v>
      </c>
      <c r="B36" t="s">
        <v>359</v>
      </c>
      <c r="C36" s="82" t="s">
        <v>360</v>
      </c>
      <c r="D36" t="s">
        <v>168</v>
      </c>
      <c r="E36" t="s">
        <v>176</v>
      </c>
      <c r="F36" s="76">
        <v>79549</v>
      </c>
      <c r="G36" s="80">
        <v>42246</v>
      </c>
      <c r="H36">
        <v>3</v>
      </c>
      <c r="I36" t="s">
        <v>178</v>
      </c>
      <c r="J36" t="s">
        <v>214</v>
      </c>
      <c r="K36" s="84">
        <v>0</v>
      </c>
      <c r="L36" s="82" t="str">
        <f t="shared" si="1"/>
        <v>Sales</v>
      </c>
    </row>
    <row r="37" spans="1:12" x14ac:dyDescent="0.35">
      <c r="A37" t="s">
        <v>44</v>
      </c>
      <c r="B37" t="s">
        <v>357</v>
      </c>
      <c r="C37" s="82" t="s">
        <v>358</v>
      </c>
      <c r="D37" t="s">
        <v>178</v>
      </c>
      <c r="E37" t="s">
        <v>175</v>
      </c>
      <c r="F37" s="76">
        <v>54463</v>
      </c>
      <c r="G37" s="80">
        <v>42253</v>
      </c>
      <c r="H37">
        <v>4</v>
      </c>
      <c r="I37" t="s">
        <v>180</v>
      </c>
      <c r="J37" t="s">
        <v>182</v>
      </c>
      <c r="K37" s="84">
        <v>0</v>
      </c>
      <c r="L37" s="82" t="str">
        <f t="shared" si="1"/>
        <v>Unknown</v>
      </c>
    </row>
    <row r="38" spans="1:12" x14ac:dyDescent="0.35">
      <c r="A38" t="s">
        <v>45</v>
      </c>
      <c r="B38" t="s">
        <v>357</v>
      </c>
      <c r="C38" s="82" t="s">
        <v>358</v>
      </c>
      <c r="D38" t="s">
        <v>169</v>
      </c>
      <c r="E38" t="s">
        <v>173</v>
      </c>
      <c r="F38" s="76">
        <v>89781</v>
      </c>
      <c r="G38" s="80">
        <v>42260</v>
      </c>
      <c r="H38">
        <v>3</v>
      </c>
      <c r="I38" t="s">
        <v>181</v>
      </c>
      <c r="J38" t="s">
        <v>215</v>
      </c>
      <c r="K38" s="84">
        <v>0</v>
      </c>
      <c r="L38" s="82" t="str">
        <f t="shared" si="1"/>
        <v>IT</v>
      </c>
    </row>
    <row r="39" spans="1:12" x14ac:dyDescent="0.35">
      <c r="A39" t="s">
        <v>46</v>
      </c>
      <c r="B39" t="s">
        <v>357</v>
      </c>
      <c r="C39" s="82" t="s">
        <v>358</v>
      </c>
      <c r="D39" t="s">
        <v>167</v>
      </c>
      <c r="E39" t="s">
        <v>178</v>
      </c>
      <c r="F39" s="76">
        <v>64796</v>
      </c>
      <c r="G39" s="80">
        <v>42267</v>
      </c>
      <c r="H39">
        <v>3</v>
      </c>
      <c r="I39" t="s">
        <v>179</v>
      </c>
      <c r="J39" t="s">
        <v>216</v>
      </c>
      <c r="K39" s="84">
        <v>0</v>
      </c>
      <c r="L39" s="82" t="str">
        <f t="shared" si="1"/>
        <v>HR</v>
      </c>
    </row>
    <row r="40" spans="1:12" x14ac:dyDescent="0.35">
      <c r="A40" t="s">
        <v>47</v>
      </c>
      <c r="B40" t="s">
        <v>359</v>
      </c>
      <c r="C40" s="82" t="s">
        <v>360</v>
      </c>
      <c r="D40" t="s">
        <v>170</v>
      </c>
      <c r="E40" t="s">
        <v>175</v>
      </c>
      <c r="F40" s="76">
        <v>52093</v>
      </c>
      <c r="G40" s="80">
        <v>42274</v>
      </c>
      <c r="H40">
        <v>5</v>
      </c>
      <c r="I40" t="s">
        <v>178</v>
      </c>
      <c r="J40" t="s">
        <v>217</v>
      </c>
      <c r="K40" s="84">
        <v>0</v>
      </c>
      <c r="L40" s="82" t="str">
        <f t="shared" si="1"/>
        <v>Marketing</v>
      </c>
    </row>
    <row r="41" spans="1:12" x14ac:dyDescent="0.35">
      <c r="A41" t="s">
        <v>48</v>
      </c>
      <c r="B41" t="s">
        <v>365</v>
      </c>
      <c r="C41" s="82" t="s">
        <v>366</v>
      </c>
      <c r="D41" t="s">
        <v>167</v>
      </c>
      <c r="E41" t="s">
        <v>175</v>
      </c>
      <c r="F41" s="76">
        <v>48224</v>
      </c>
      <c r="G41" s="80">
        <v>42281</v>
      </c>
      <c r="H41">
        <v>3</v>
      </c>
      <c r="I41" t="s">
        <v>178</v>
      </c>
      <c r="J41" t="s">
        <v>218</v>
      </c>
      <c r="K41" s="84">
        <v>0</v>
      </c>
      <c r="L41" s="82" t="str">
        <f t="shared" si="1"/>
        <v>HR</v>
      </c>
    </row>
    <row r="42" spans="1:12" x14ac:dyDescent="0.35">
      <c r="A42" t="s">
        <v>49</v>
      </c>
      <c r="B42" t="s">
        <v>367</v>
      </c>
      <c r="C42" s="82" t="s">
        <v>368</v>
      </c>
      <c r="D42" t="s">
        <v>166</v>
      </c>
      <c r="E42" t="s">
        <v>175</v>
      </c>
      <c r="F42" s="76" t="s">
        <v>177</v>
      </c>
      <c r="G42" s="80">
        <v>42288</v>
      </c>
      <c r="H42">
        <v>4</v>
      </c>
      <c r="I42" t="s">
        <v>181</v>
      </c>
      <c r="J42" t="s">
        <v>219</v>
      </c>
      <c r="K42" s="84">
        <v>0</v>
      </c>
      <c r="L42" s="82" t="str">
        <f t="shared" si="1"/>
        <v>Finance</v>
      </c>
    </row>
    <row r="43" spans="1:12" x14ac:dyDescent="0.35">
      <c r="A43" t="s">
        <v>50</v>
      </c>
      <c r="B43" t="s">
        <v>357</v>
      </c>
      <c r="C43" s="82" t="s">
        <v>358</v>
      </c>
      <c r="D43" t="s">
        <v>169</v>
      </c>
      <c r="E43" t="s">
        <v>172</v>
      </c>
      <c r="F43" s="76">
        <v>33956</v>
      </c>
      <c r="G43" s="80">
        <v>42295</v>
      </c>
      <c r="H43">
        <v>3</v>
      </c>
      <c r="I43" t="s">
        <v>178</v>
      </c>
      <c r="J43" t="s">
        <v>220</v>
      </c>
      <c r="K43" s="84">
        <v>0</v>
      </c>
      <c r="L43" s="82" t="str">
        <f t="shared" si="1"/>
        <v>IT</v>
      </c>
    </row>
    <row r="44" spans="1:12" x14ac:dyDescent="0.35">
      <c r="A44" t="s">
        <v>51</v>
      </c>
      <c r="B44" t="s">
        <v>367</v>
      </c>
      <c r="C44" s="82" t="s">
        <v>368</v>
      </c>
      <c r="D44" t="s">
        <v>178</v>
      </c>
      <c r="E44" t="s">
        <v>176</v>
      </c>
      <c r="F44" s="76">
        <v>64913</v>
      </c>
      <c r="G44" s="80">
        <v>42302</v>
      </c>
      <c r="H44">
        <v>1</v>
      </c>
      <c r="I44" t="s">
        <v>181</v>
      </c>
      <c r="J44" t="s">
        <v>221</v>
      </c>
      <c r="K44" s="84">
        <v>0</v>
      </c>
      <c r="L44" s="82" t="str">
        <f t="shared" si="1"/>
        <v>Unknown</v>
      </c>
    </row>
    <row r="45" spans="1:12" x14ac:dyDescent="0.35">
      <c r="A45" t="s">
        <v>52</v>
      </c>
      <c r="B45" t="s">
        <v>357</v>
      </c>
      <c r="C45" s="82" t="s">
        <v>358</v>
      </c>
      <c r="D45" t="s">
        <v>170</v>
      </c>
      <c r="E45" t="s">
        <v>176</v>
      </c>
      <c r="F45" s="76">
        <v>35326</v>
      </c>
      <c r="G45" s="80">
        <v>42309</v>
      </c>
      <c r="H45">
        <v>3</v>
      </c>
      <c r="I45" t="s">
        <v>181</v>
      </c>
      <c r="J45" t="s">
        <v>222</v>
      </c>
      <c r="K45" s="84">
        <v>0</v>
      </c>
      <c r="L45" s="82" t="str">
        <f t="shared" si="1"/>
        <v>Marketing</v>
      </c>
    </row>
    <row r="46" spans="1:12" x14ac:dyDescent="0.35">
      <c r="A46" t="s">
        <v>53</v>
      </c>
      <c r="B46" t="s">
        <v>365</v>
      </c>
      <c r="C46" s="82" t="s">
        <v>366</v>
      </c>
      <c r="D46" t="s">
        <v>166</v>
      </c>
      <c r="E46" t="s">
        <v>178</v>
      </c>
      <c r="F46" s="76">
        <v>81610</v>
      </c>
      <c r="G46" s="80">
        <v>42316</v>
      </c>
      <c r="H46">
        <v>1</v>
      </c>
      <c r="I46" t="s">
        <v>178</v>
      </c>
      <c r="J46" t="s">
        <v>223</v>
      </c>
      <c r="K46" s="84">
        <v>0</v>
      </c>
      <c r="L46" s="82" t="str">
        <f t="shared" si="1"/>
        <v>Finance</v>
      </c>
    </row>
    <row r="47" spans="1:12" x14ac:dyDescent="0.35">
      <c r="A47" t="s">
        <v>54</v>
      </c>
      <c r="B47" t="s">
        <v>178</v>
      </c>
      <c r="C47"/>
      <c r="D47" t="s">
        <v>167</v>
      </c>
      <c r="E47" t="s">
        <v>178</v>
      </c>
      <c r="F47" s="76">
        <v>58962</v>
      </c>
      <c r="G47" s="80">
        <v>42323</v>
      </c>
      <c r="H47">
        <v>3</v>
      </c>
      <c r="I47" t="s">
        <v>179</v>
      </c>
      <c r="J47" t="s">
        <v>183</v>
      </c>
      <c r="K47" s="84">
        <v>0</v>
      </c>
      <c r="L47" s="82" t="str">
        <f t="shared" si="1"/>
        <v>HR</v>
      </c>
    </row>
    <row r="48" spans="1:12" x14ac:dyDescent="0.35">
      <c r="A48" t="s">
        <v>55</v>
      </c>
      <c r="B48" t="s">
        <v>365</v>
      </c>
      <c r="C48" s="82" t="s">
        <v>366</v>
      </c>
      <c r="D48" t="s">
        <v>169</v>
      </c>
      <c r="E48" t="s">
        <v>172</v>
      </c>
      <c r="F48" s="76">
        <v>92701</v>
      </c>
      <c r="G48" s="80">
        <v>42330</v>
      </c>
      <c r="H48">
        <v>3</v>
      </c>
      <c r="I48" t="s">
        <v>179</v>
      </c>
      <c r="J48" t="s">
        <v>224</v>
      </c>
      <c r="K48" s="84">
        <v>0</v>
      </c>
      <c r="L48" s="82" t="str">
        <f t="shared" si="1"/>
        <v>IT</v>
      </c>
    </row>
    <row r="49" spans="1:12" x14ac:dyDescent="0.35">
      <c r="A49" t="s">
        <v>56</v>
      </c>
      <c r="B49" t="s">
        <v>365</v>
      </c>
      <c r="C49" s="82" t="s">
        <v>366</v>
      </c>
      <c r="D49" t="s">
        <v>167</v>
      </c>
      <c r="E49" t="s">
        <v>174</v>
      </c>
      <c r="F49" s="76">
        <v>58245</v>
      </c>
      <c r="G49" s="80">
        <v>42337</v>
      </c>
      <c r="H49">
        <v>4</v>
      </c>
      <c r="I49" t="s">
        <v>178</v>
      </c>
      <c r="J49" t="s">
        <v>225</v>
      </c>
      <c r="K49" s="84">
        <v>0</v>
      </c>
      <c r="L49" s="82" t="str">
        <f t="shared" si="1"/>
        <v>HR</v>
      </c>
    </row>
    <row r="50" spans="1:12" x14ac:dyDescent="0.35">
      <c r="A50" t="s">
        <v>57</v>
      </c>
      <c r="B50" t="s">
        <v>359</v>
      </c>
      <c r="C50" s="82" t="s">
        <v>360</v>
      </c>
      <c r="D50" t="s">
        <v>166</v>
      </c>
      <c r="E50" t="s">
        <v>178</v>
      </c>
      <c r="F50" s="76">
        <v>66513</v>
      </c>
      <c r="G50" s="80">
        <v>42344</v>
      </c>
      <c r="H50">
        <v>2</v>
      </c>
      <c r="I50" t="s">
        <v>179</v>
      </c>
      <c r="J50" t="s">
        <v>187</v>
      </c>
      <c r="K50" s="84">
        <v>0</v>
      </c>
      <c r="L50" s="82" t="str">
        <f t="shared" si="1"/>
        <v>Finance</v>
      </c>
    </row>
    <row r="51" spans="1:12" x14ac:dyDescent="0.35">
      <c r="A51" t="s">
        <v>58</v>
      </c>
      <c r="B51" t="s">
        <v>355</v>
      </c>
      <c r="C51" s="82" t="s">
        <v>356</v>
      </c>
      <c r="D51" t="s">
        <v>167</v>
      </c>
      <c r="E51" t="s">
        <v>172</v>
      </c>
      <c r="F51" s="76">
        <v>78720</v>
      </c>
      <c r="G51" s="80">
        <v>42351</v>
      </c>
      <c r="H51">
        <v>5</v>
      </c>
      <c r="I51" t="s">
        <v>181</v>
      </c>
      <c r="J51" t="s">
        <v>219</v>
      </c>
      <c r="K51" s="84">
        <v>0</v>
      </c>
      <c r="L51" s="82" t="str">
        <f t="shared" si="1"/>
        <v>HR</v>
      </c>
    </row>
    <row r="52" spans="1:12" x14ac:dyDescent="0.35">
      <c r="A52" t="s">
        <v>59</v>
      </c>
      <c r="B52" t="s">
        <v>365</v>
      </c>
      <c r="C52" s="82" t="s">
        <v>366</v>
      </c>
      <c r="D52" t="s">
        <v>178</v>
      </c>
      <c r="E52" t="s">
        <v>171</v>
      </c>
      <c r="F52" s="76">
        <v>30686</v>
      </c>
      <c r="G52" s="80">
        <v>42358</v>
      </c>
      <c r="H52">
        <v>2</v>
      </c>
      <c r="I52" t="s">
        <v>181</v>
      </c>
      <c r="J52" t="s">
        <v>226</v>
      </c>
      <c r="K52" s="84">
        <v>0</v>
      </c>
      <c r="L52" s="82" t="str">
        <f t="shared" si="1"/>
        <v>Unknown</v>
      </c>
    </row>
    <row r="53" spans="1:12" x14ac:dyDescent="0.35">
      <c r="A53" t="s">
        <v>60</v>
      </c>
      <c r="B53" t="s">
        <v>363</v>
      </c>
      <c r="C53" s="82" t="s">
        <v>364</v>
      </c>
      <c r="D53" t="s">
        <v>168</v>
      </c>
      <c r="E53" t="s">
        <v>174</v>
      </c>
      <c r="F53" s="76">
        <v>39423</v>
      </c>
      <c r="G53" s="80">
        <v>42365</v>
      </c>
      <c r="H53">
        <v>5</v>
      </c>
      <c r="I53" t="s">
        <v>178</v>
      </c>
      <c r="J53" t="s">
        <v>227</v>
      </c>
      <c r="K53" s="84">
        <v>0</v>
      </c>
      <c r="L53" s="82" t="str">
        <f t="shared" si="1"/>
        <v>Sales</v>
      </c>
    </row>
    <row r="54" spans="1:12" x14ac:dyDescent="0.35">
      <c r="A54" t="s">
        <v>61</v>
      </c>
      <c r="B54" t="s">
        <v>355</v>
      </c>
      <c r="C54" s="82" t="s">
        <v>356</v>
      </c>
      <c r="D54" t="s">
        <v>170</v>
      </c>
      <c r="E54" t="s">
        <v>178</v>
      </c>
      <c r="F54" s="76">
        <v>30280</v>
      </c>
      <c r="G54" s="80">
        <v>42372</v>
      </c>
      <c r="H54">
        <v>1</v>
      </c>
      <c r="I54" t="s">
        <v>178</v>
      </c>
      <c r="J54" t="s">
        <v>228</v>
      </c>
      <c r="K54" s="84">
        <v>0</v>
      </c>
      <c r="L54" s="82" t="str">
        <f t="shared" si="1"/>
        <v>Marketing</v>
      </c>
    </row>
    <row r="55" spans="1:12" x14ac:dyDescent="0.35">
      <c r="A55" t="s">
        <v>62</v>
      </c>
      <c r="B55" t="s">
        <v>355</v>
      </c>
      <c r="C55" s="82" t="s">
        <v>356</v>
      </c>
      <c r="D55" t="s">
        <v>166</v>
      </c>
      <c r="E55" t="s">
        <v>175</v>
      </c>
      <c r="F55" s="76">
        <v>33352</v>
      </c>
      <c r="G55" s="80">
        <v>42379</v>
      </c>
      <c r="H55">
        <v>3</v>
      </c>
      <c r="I55" t="s">
        <v>181</v>
      </c>
      <c r="J55" t="s">
        <v>200</v>
      </c>
      <c r="K55" s="84">
        <v>0</v>
      </c>
      <c r="L55" s="82" t="str">
        <f t="shared" si="1"/>
        <v>Finance</v>
      </c>
    </row>
    <row r="56" spans="1:12" x14ac:dyDescent="0.35">
      <c r="A56" t="s">
        <v>63</v>
      </c>
      <c r="B56" t="s">
        <v>367</v>
      </c>
      <c r="C56" s="82" t="s">
        <v>368</v>
      </c>
      <c r="D56" t="s">
        <v>170</v>
      </c>
      <c r="E56" t="s">
        <v>175</v>
      </c>
      <c r="F56" s="76">
        <v>75633</v>
      </c>
      <c r="G56" s="80">
        <v>42386</v>
      </c>
      <c r="H56">
        <v>5</v>
      </c>
      <c r="I56" t="s">
        <v>179</v>
      </c>
      <c r="J56" t="s">
        <v>229</v>
      </c>
      <c r="K56" s="84">
        <v>0</v>
      </c>
      <c r="L56" s="82" t="str">
        <f t="shared" si="1"/>
        <v>Marketing</v>
      </c>
    </row>
    <row r="57" spans="1:12" x14ac:dyDescent="0.35">
      <c r="A57" t="s">
        <v>64</v>
      </c>
      <c r="B57" t="s">
        <v>365</v>
      </c>
      <c r="C57" s="82" t="s">
        <v>366</v>
      </c>
      <c r="D57" t="s">
        <v>178</v>
      </c>
      <c r="E57" t="s">
        <v>173</v>
      </c>
      <c r="F57" s="76">
        <v>74815</v>
      </c>
      <c r="G57" s="80">
        <v>42393</v>
      </c>
      <c r="H57">
        <v>5</v>
      </c>
      <c r="I57" t="s">
        <v>181</v>
      </c>
      <c r="J57" t="s">
        <v>230</v>
      </c>
      <c r="K57" s="84">
        <v>0</v>
      </c>
      <c r="L57" s="82" t="str">
        <f t="shared" si="1"/>
        <v>Unknown</v>
      </c>
    </row>
    <row r="58" spans="1:12" x14ac:dyDescent="0.35">
      <c r="A58" t="s">
        <v>65</v>
      </c>
      <c r="B58" t="s">
        <v>359</v>
      </c>
      <c r="C58" s="82" t="s">
        <v>360</v>
      </c>
      <c r="D58" t="s">
        <v>168</v>
      </c>
      <c r="E58" t="s">
        <v>176</v>
      </c>
      <c r="F58" s="76">
        <v>60011</v>
      </c>
      <c r="G58" s="80">
        <v>42400</v>
      </c>
      <c r="H58">
        <v>1</v>
      </c>
      <c r="I58" t="s">
        <v>180</v>
      </c>
      <c r="J58" t="s">
        <v>231</v>
      </c>
      <c r="K58" s="84">
        <v>0</v>
      </c>
      <c r="L58" s="82" t="str">
        <f t="shared" si="1"/>
        <v>Sales</v>
      </c>
    </row>
    <row r="59" spans="1:12" x14ac:dyDescent="0.35">
      <c r="A59" t="s">
        <v>66</v>
      </c>
      <c r="B59" t="s">
        <v>355</v>
      </c>
      <c r="C59" s="82" t="s">
        <v>356</v>
      </c>
      <c r="D59" t="s">
        <v>178</v>
      </c>
      <c r="E59" t="s">
        <v>174</v>
      </c>
      <c r="F59" s="76">
        <v>96949</v>
      </c>
      <c r="G59" s="80">
        <v>42407</v>
      </c>
      <c r="H59">
        <v>3</v>
      </c>
      <c r="I59" t="s">
        <v>178</v>
      </c>
      <c r="J59" t="s">
        <v>207</v>
      </c>
      <c r="K59" s="84">
        <v>0</v>
      </c>
      <c r="L59" s="82" t="str">
        <f t="shared" si="1"/>
        <v>Unknown</v>
      </c>
    </row>
    <row r="60" spans="1:12" x14ac:dyDescent="0.35">
      <c r="A60" t="s">
        <v>67</v>
      </c>
      <c r="B60" t="s">
        <v>363</v>
      </c>
      <c r="C60" s="82" t="s">
        <v>364</v>
      </c>
      <c r="D60" t="s">
        <v>170</v>
      </c>
      <c r="E60" t="s">
        <v>178</v>
      </c>
      <c r="F60" s="76">
        <v>84924</v>
      </c>
      <c r="G60" s="80">
        <v>42414</v>
      </c>
      <c r="H60">
        <v>5</v>
      </c>
      <c r="I60" t="s">
        <v>180</v>
      </c>
      <c r="J60" t="s">
        <v>232</v>
      </c>
      <c r="K60" s="84">
        <v>0</v>
      </c>
      <c r="L60" s="82" t="str">
        <f t="shared" si="1"/>
        <v>Marketing</v>
      </c>
    </row>
    <row r="61" spans="1:12" x14ac:dyDescent="0.35">
      <c r="A61" t="s">
        <v>68</v>
      </c>
      <c r="B61" t="s">
        <v>363</v>
      </c>
      <c r="C61" s="82" t="s">
        <v>364</v>
      </c>
      <c r="D61" t="s">
        <v>166</v>
      </c>
      <c r="E61" t="s">
        <v>173</v>
      </c>
      <c r="F61" s="76">
        <v>82033</v>
      </c>
      <c r="G61" s="80">
        <v>42421</v>
      </c>
      <c r="H61">
        <v>1</v>
      </c>
      <c r="I61" t="s">
        <v>178</v>
      </c>
      <c r="J61" t="s">
        <v>223</v>
      </c>
      <c r="K61" s="84">
        <v>0</v>
      </c>
      <c r="L61" s="82" t="str">
        <f t="shared" si="1"/>
        <v>Finance</v>
      </c>
    </row>
    <row r="62" spans="1:12" x14ac:dyDescent="0.35">
      <c r="A62" t="s">
        <v>69</v>
      </c>
      <c r="B62" t="s">
        <v>178</v>
      </c>
      <c r="C62"/>
      <c r="D62" t="s">
        <v>170</v>
      </c>
      <c r="E62" t="s">
        <v>172</v>
      </c>
      <c r="F62" s="76" t="s">
        <v>177</v>
      </c>
      <c r="G62" s="80">
        <v>42432</v>
      </c>
      <c r="H62">
        <v>5</v>
      </c>
      <c r="I62" t="s">
        <v>178</v>
      </c>
      <c r="J62" t="s">
        <v>233</v>
      </c>
      <c r="K62" s="84">
        <v>0</v>
      </c>
      <c r="L62" s="82" t="str">
        <f t="shared" si="1"/>
        <v>Marketing</v>
      </c>
    </row>
    <row r="63" spans="1:12" x14ac:dyDescent="0.35">
      <c r="A63" t="s">
        <v>70</v>
      </c>
      <c r="B63" t="s">
        <v>355</v>
      </c>
      <c r="C63" s="82" t="s">
        <v>356</v>
      </c>
      <c r="D63" t="s">
        <v>178</v>
      </c>
      <c r="E63" t="s">
        <v>176</v>
      </c>
      <c r="F63" s="76">
        <v>31499</v>
      </c>
      <c r="G63" s="80">
        <v>42435</v>
      </c>
      <c r="H63">
        <v>2</v>
      </c>
      <c r="I63" t="s">
        <v>178</v>
      </c>
      <c r="J63" t="s">
        <v>215</v>
      </c>
      <c r="K63" s="84">
        <v>0</v>
      </c>
      <c r="L63" s="82" t="str">
        <f t="shared" si="1"/>
        <v>Unknown</v>
      </c>
    </row>
    <row r="64" spans="1:12" x14ac:dyDescent="0.35">
      <c r="A64" t="s">
        <v>71</v>
      </c>
      <c r="B64" t="s">
        <v>365</v>
      </c>
      <c r="C64" s="82" t="s">
        <v>366</v>
      </c>
      <c r="D64" t="s">
        <v>169</v>
      </c>
      <c r="E64" t="s">
        <v>175</v>
      </c>
      <c r="F64" s="76">
        <v>97981</v>
      </c>
      <c r="G64" s="80">
        <v>42442</v>
      </c>
      <c r="H64">
        <v>5</v>
      </c>
      <c r="I64" t="s">
        <v>181</v>
      </c>
      <c r="J64" t="s">
        <v>234</v>
      </c>
      <c r="K64" s="84">
        <v>0</v>
      </c>
      <c r="L64" s="82" t="str">
        <f t="shared" si="1"/>
        <v>IT</v>
      </c>
    </row>
    <row r="65" spans="1:12" x14ac:dyDescent="0.35">
      <c r="A65" t="s">
        <v>72</v>
      </c>
      <c r="B65" t="s">
        <v>355</v>
      </c>
      <c r="C65" s="82" t="s">
        <v>356</v>
      </c>
      <c r="D65" t="s">
        <v>167</v>
      </c>
      <c r="E65" t="s">
        <v>173</v>
      </c>
      <c r="F65" s="76">
        <v>36541</v>
      </c>
      <c r="G65" s="80">
        <v>42449</v>
      </c>
      <c r="H65">
        <v>2</v>
      </c>
      <c r="I65" t="s">
        <v>179</v>
      </c>
      <c r="J65" t="s">
        <v>235</v>
      </c>
      <c r="K65" s="84">
        <v>0</v>
      </c>
      <c r="L65" s="82" t="str">
        <f t="shared" si="1"/>
        <v>HR</v>
      </c>
    </row>
    <row r="66" spans="1:12" x14ac:dyDescent="0.35">
      <c r="A66" t="s">
        <v>73</v>
      </c>
      <c r="B66" t="s">
        <v>359</v>
      </c>
      <c r="C66" s="82" t="s">
        <v>360</v>
      </c>
      <c r="D66" t="s">
        <v>169</v>
      </c>
      <c r="E66" t="s">
        <v>174</v>
      </c>
      <c r="F66" s="76">
        <v>84737</v>
      </c>
      <c r="G66" s="80">
        <v>42456</v>
      </c>
      <c r="H66">
        <v>1</v>
      </c>
      <c r="I66" t="s">
        <v>180</v>
      </c>
      <c r="J66" t="s">
        <v>236</v>
      </c>
      <c r="K66" s="84">
        <v>0</v>
      </c>
      <c r="L66" s="82" t="str">
        <f t="shared" ref="L66:L97" si="2">TRIM(D66)</f>
        <v>IT</v>
      </c>
    </row>
    <row r="67" spans="1:12" x14ac:dyDescent="0.35">
      <c r="A67" t="s">
        <v>74</v>
      </c>
      <c r="B67" t="s">
        <v>363</v>
      </c>
      <c r="C67" s="82" t="s">
        <v>364</v>
      </c>
      <c r="D67" t="s">
        <v>166</v>
      </c>
      <c r="E67" t="s">
        <v>174</v>
      </c>
      <c r="F67" s="76">
        <v>33468</v>
      </c>
      <c r="G67" s="80">
        <v>42463</v>
      </c>
      <c r="H67">
        <v>4</v>
      </c>
      <c r="I67" t="s">
        <v>180</v>
      </c>
      <c r="J67" t="s">
        <v>237</v>
      </c>
      <c r="K67" s="84">
        <v>0</v>
      </c>
      <c r="L67" s="82" t="str">
        <f t="shared" si="2"/>
        <v>Finance</v>
      </c>
    </row>
    <row r="68" spans="1:12" x14ac:dyDescent="0.35">
      <c r="A68" t="s">
        <v>75</v>
      </c>
      <c r="B68" t="s">
        <v>363</v>
      </c>
      <c r="C68" s="82" t="s">
        <v>364</v>
      </c>
      <c r="D68" t="s">
        <v>178</v>
      </c>
      <c r="E68" t="s">
        <v>176</v>
      </c>
      <c r="F68" s="76">
        <v>96365</v>
      </c>
      <c r="G68" s="80">
        <v>42470</v>
      </c>
      <c r="H68">
        <v>3</v>
      </c>
      <c r="I68" t="s">
        <v>179</v>
      </c>
      <c r="J68" t="s">
        <v>238</v>
      </c>
      <c r="K68" s="84">
        <v>0</v>
      </c>
      <c r="L68" s="82" t="str">
        <f t="shared" si="2"/>
        <v>Unknown</v>
      </c>
    </row>
    <row r="69" spans="1:12" x14ac:dyDescent="0.35">
      <c r="A69" t="s">
        <v>76</v>
      </c>
      <c r="B69" t="s">
        <v>357</v>
      </c>
      <c r="C69" s="82" t="s">
        <v>358</v>
      </c>
      <c r="D69" t="s">
        <v>168</v>
      </c>
      <c r="E69" t="s">
        <v>174</v>
      </c>
      <c r="F69" s="76">
        <v>61942</v>
      </c>
      <c r="G69" s="80">
        <v>42477</v>
      </c>
      <c r="H69">
        <v>3</v>
      </c>
      <c r="I69" t="s">
        <v>181</v>
      </c>
      <c r="J69" t="s">
        <v>239</v>
      </c>
      <c r="K69" s="84">
        <v>0</v>
      </c>
      <c r="L69" s="82" t="str">
        <f t="shared" si="2"/>
        <v>Sales</v>
      </c>
    </row>
    <row r="70" spans="1:12" x14ac:dyDescent="0.35">
      <c r="A70" t="s">
        <v>77</v>
      </c>
      <c r="B70" t="s">
        <v>363</v>
      </c>
      <c r="C70" s="82" t="s">
        <v>364</v>
      </c>
      <c r="D70" t="s">
        <v>166</v>
      </c>
      <c r="E70" t="s">
        <v>175</v>
      </c>
      <c r="F70" s="76">
        <v>41467</v>
      </c>
      <c r="G70" s="80">
        <v>42484</v>
      </c>
      <c r="H70">
        <v>2</v>
      </c>
      <c r="I70" t="s">
        <v>178</v>
      </c>
      <c r="J70" t="s">
        <v>201</v>
      </c>
      <c r="K70" s="84">
        <v>0</v>
      </c>
      <c r="L70" s="82" t="str">
        <f t="shared" si="2"/>
        <v>Finance</v>
      </c>
    </row>
    <row r="71" spans="1:12" x14ac:dyDescent="0.35">
      <c r="A71" t="s">
        <v>78</v>
      </c>
      <c r="B71" t="s">
        <v>367</v>
      </c>
      <c r="C71" s="82" t="s">
        <v>368</v>
      </c>
      <c r="D71" t="s">
        <v>166</v>
      </c>
      <c r="E71" t="s">
        <v>174</v>
      </c>
      <c r="F71" s="76">
        <v>77096</v>
      </c>
      <c r="G71" s="80">
        <v>42491</v>
      </c>
      <c r="H71">
        <v>1</v>
      </c>
      <c r="I71" t="s">
        <v>178</v>
      </c>
      <c r="J71" t="s">
        <v>240</v>
      </c>
      <c r="K71" s="84">
        <v>0</v>
      </c>
      <c r="L71" s="82" t="str">
        <f t="shared" si="2"/>
        <v>Finance</v>
      </c>
    </row>
    <row r="72" spans="1:12" x14ac:dyDescent="0.35">
      <c r="A72" t="s">
        <v>79</v>
      </c>
      <c r="B72" t="s">
        <v>355</v>
      </c>
      <c r="C72" s="82" t="s">
        <v>356</v>
      </c>
      <c r="D72" t="s">
        <v>168</v>
      </c>
      <c r="E72" t="s">
        <v>176</v>
      </c>
      <c r="F72" s="76">
        <v>69952</v>
      </c>
      <c r="G72" s="80">
        <v>42498</v>
      </c>
      <c r="H72">
        <v>5</v>
      </c>
      <c r="I72" t="s">
        <v>181</v>
      </c>
      <c r="J72" t="s">
        <v>182</v>
      </c>
      <c r="K72" s="84">
        <v>0</v>
      </c>
      <c r="L72" s="82" t="str">
        <f t="shared" si="2"/>
        <v>Sales</v>
      </c>
    </row>
    <row r="73" spans="1:12" x14ac:dyDescent="0.35">
      <c r="A73" t="s">
        <v>80</v>
      </c>
      <c r="B73" t="s">
        <v>355</v>
      </c>
      <c r="C73" s="82" t="s">
        <v>356</v>
      </c>
      <c r="D73" t="s">
        <v>170</v>
      </c>
      <c r="E73" t="s">
        <v>173</v>
      </c>
      <c r="F73" s="76">
        <v>85065</v>
      </c>
      <c r="G73" s="80">
        <v>42505</v>
      </c>
      <c r="H73">
        <v>3</v>
      </c>
      <c r="I73" t="s">
        <v>178</v>
      </c>
      <c r="J73" t="s">
        <v>241</v>
      </c>
      <c r="K73" s="84">
        <v>0</v>
      </c>
      <c r="L73" s="82" t="str">
        <f t="shared" si="2"/>
        <v>Marketing</v>
      </c>
    </row>
    <row r="74" spans="1:12" x14ac:dyDescent="0.35">
      <c r="A74" t="s">
        <v>81</v>
      </c>
      <c r="B74" t="s">
        <v>367</v>
      </c>
      <c r="C74" s="82" t="s">
        <v>368</v>
      </c>
      <c r="D74" t="s">
        <v>170</v>
      </c>
      <c r="E74" t="s">
        <v>174</v>
      </c>
      <c r="F74" s="76">
        <v>56512</v>
      </c>
      <c r="G74" s="80">
        <v>42512</v>
      </c>
      <c r="H74">
        <v>3</v>
      </c>
      <c r="I74" t="s">
        <v>179</v>
      </c>
      <c r="J74" t="s">
        <v>190</v>
      </c>
      <c r="K74" s="84">
        <v>0</v>
      </c>
      <c r="L74" s="82" t="str">
        <f t="shared" si="2"/>
        <v>Marketing</v>
      </c>
    </row>
    <row r="75" spans="1:12" x14ac:dyDescent="0.35">
      <c r="A75" t="s">
        <v>82</v>
      </c>
      <c r="B75" t="s">
        <v>359</v>
      </c>
      <c r="C75" s="82" t="s">
        <v>360</v>
      </c>
      <c r="D75" t="s">
        <v>168</v>
      </c>
      <c r="E75" t="s">
        <v>174</v>
      </c>
      <c r="F75" s="76">
        <v>91101</v>
      </c>
      <c r="G75" s="80">
        <v>42519</v>
      </c>
      <c r="H75">
        <v>4</v>
      </c>
      <c r="I75" t="s">
        <v>181</v>
      </c>
      <c r="J75" t="s">
        <v>234</v>
      </c>
      <c r="K75" s="84">
        <v>0</v>
      </c>
      <c r="L75" s="82" t="str">
        <f t="shared" si="2"/>
        <v>Sales</v>
      </c>
    </row>
    <row r="76" spans="1:12" x14ac:dyDescent="0.35">
      <c r="A76" t="s">
        <v>83</v>
      </c>
      <c r="B76" t="s">
        <v>363</v>
      </c>
      <c r="C76" s="82" t="s">
        <v>364</v>
      </c>
      <c r="D76" t="s">
        <v>178</v>
      </c>
      <c r="E76" t="s">
        <v>172</v>
      </c>
      <c r="F76" s="76">
        <v>41243</v>
      </c>
      <c r="G76" s="80">
        <v>42526</v>
      </c>
      <c r="H76">
        <v>3</v>
      </c>
      <c r="I76" t="s">
        <v>178</v>
      </c>
      <c r="J76" t="s">
        <v>211</v>
      </c>
      <c r="K76" s="84">
        <v>0</v>
      </c>
      <c r="L76" s="82" t="str">
        <f t="shared" si="2"/>
        <v>Unknown</v>
      </c>
    </row>
    <row r="77" spans="1:12" x14ac:dyDescent="0.35">
      <c r="A77" t="s">
        <v>84</v>
      </c>
      <c r="B77" t="s">
        <v>178</v>
      </c>
      <c r="C77"/>
      <c r="D77" t="s">
        <v>168</v>
      </c>
      <c r="E77" t="s">
        <v>171</v>
      </c>
      <c r="F77" s="76">
        <v>96142</v>
      </c>
      <c r="G77" s="80">
        <v>42533</v>
      </c>
      <c r="H77">
        <v>1</v>
      </c>
      <c r="I77" t="s">
        <v>179</v>
      </c>
      <c r="J77" t="s">
        <v>242</v>
      </c>
      <c r="K77" s="84">
        <v>0</v>
      </c>
      <c r="L77" s="82" t="str">
        <f t="shared" si="2"/>
        <v>Sales</v>
      </c>
    </row>
    <row r="78" spans="1:12" x14ac:dyDescent="0.35">
      <c r="A78" t="s">
        <v>85</v>
      </c>
      <c r="B78" t="s">
        <v>355</v>
      </c>
      <c r="C78" s="82" t="s">
        <v>356</v>
      </c>
      <c r="D78" t="s">
        <v>169</v>
      </c>
      <c r="E78" t="s">
        <v>174</v>
      </c>
      <c r="F78" s="76">
        <v>94301</v>
      </c>
      <c r="G78" s="80">
        <v>42540</v>
      </c>
      <c r="H78">
        <v>1</v>
      </c>
      <c r="I78" t="s">
        <v>180</v>
      </c>
      <c r="J78" t="s">
        <v>223</v>
      </c>
      <c r="K78" s="84">
        <v>0</v>
      </c>
      <c r="L78" s="82" t="str">
        <f t="shared" si="2"/>
        <v>IT</v>
      </c>
    </row>
    <row r="79" spans="1:12" x14ac:dyDescent="0.35">
      <c r="A79" t="s">
        <v>86</v>
      </c>
      <c r="B79" t="s">
        <v>361</v>
      </c>
      <c r="C79" s="82" t="s">
        <v>362</v>
      </c>
      <c r="D79" t="s">
        <v>178</v>
      </c>
      <c r="E79" t="s">
        <v>175</v>
      </c>
      <c r="F79" s="76">
        <v>69166</v>
      </c>
      <c r="G79" s="80">
        <v>42547</v>
      </c>
      <c r="H79">
        <v>1</v>
      </c>
      <c r="I79" t="s">
        <v>181</v>
      </c>
      <c r="J79" t="s">
        <v>243</v>
      </c>
      <c r="K79" s="84">
        <v>0</v>
      </c>
      <c r="L79" s="82" t="str">
        <f t="shared" si="2"/>
        <v>Unknown</v>
      </c>
    </row>
    <row r="80" spans="1:12" x14ac:dyDescent="0.35">
      <c r="A80" t="s">
        <v>87</v>
      </c>
      <c r="B80" t="s">
        <v>363</v>
      </c>
      <c r="C80" s="82" t="s">
        <v>364</v>
      </c>
      <c r="D80" t="s">
        <v>178</v>
      </c>
      <c r="E80" t="s">
        <v>175</v>
      </c>
      <c r="F80" s="76">
        <v>78245</v>
      </c>
      <c r="G80" s="80">
        <v>42554</v>
      </c>
      <c r="H80">
        <v>2</v>
      </c>
      <c r="I80" t="s">
        <v>178</v>
      </c>
      <c r="J80" t="s">
        <v>244</v>
      </c>
      <c r="K80" s="84">
        <v>0</v>
      </c>
      <c r="L80" s="82" t="str">
        <f t="shared" si="2"/>
        <v>Unknown</v>
      </c>
    </row>
    <row r="81" spans="1:12" x14ac:dyDescent="0.35">
      <c r="A81" t="s">
        <v>88</v>
      </c>
      <c r="B81" t="s">
        <v>365</v>
      </c>
      <c r="C81" s="82" t="s">
        <v>366</v>
      </c>
      <c r="D81" t="s">
        <v>168</v>
      </c>
      <c r="E81" t="s">
        <v>173</v>
      </c>
      <c r="F81" s="76">
        <v>66079</v>
      </c>
      <c r="G81" s="80">
        <v>42561</v>
      </c>
      <c r="H81">
        <v>2</v>
      </c>
      <c r="I81" t="s">
        <v>179</v>
      </c>
      <c r="J81" t="s">
        <v>245</v>
      </c>
      <c r="K81" s="84">
        <v>0</v>
      </c>
      <c r="L81" s="82" t="str">
        <f t="shared" si="2"/>
        <v>Sales</v>
      </c>
    </row>
    <row r="82" spans="1:12" x14ac:dyDescent="0.35">
      <c r="A82" t="s">
        <v>89</v>
      </c>
      <c r="B82" t="s">
        <v>355</v>
      </c>
      <c r="C82" s="82" t="s">
        <v>356</v>
      </c>
      <c r="D82" t="s">
        <v>170</v>
      </c>
      <c r="E82" t="s">
        <v>174</v>
      </c>
      <c r="F82" s="76" t="s">
        <v>177</v>
      </c>
      <c r="G82" s="80">
        <v>42573</v>
      </c>
      <c r="H82">
        <v>3</v>
      </c>
      <c r="I82" t="s">
        <v>178</v>
      </c>
      <c r="J82" t="s">
        <v>208</v>
      </c>
      <c r="K82" s="84">
        <v>0</v>
      </c>
      <c r="L82" s="82" t="str">
        <f t="shared" si="2"/>
        <v>Marketing</v>
      </c>
    </row>
    <row r="83" spans="1:12" x14ac:dyDescent="0.35">
      <c r="A83" t="s">
        <v>90</v>
      </c>
      <c r="B83" t="s">
        <v>361</v>
      </c>
      <c r="C83" s="82" t="s">
        <v>362</v>
      </c>
      <c r="D83" t="s">
        <v>168</v>
      </c>
      <c r="E83" t="s">
        <v>173</v>
      </c>
      <c r="F83" s="76">
        <v>95621</v>
      </c>
      <c r="G83" s="80">
        <v>42575</v>
      </c>
      <c r="H83">
        <v>3</v>
      </c>
      <c r="I83" t="s">
        <v>181</v>
      </c>
      <c r="J83" t="s">
        <v>246</v>
      </c>
      <c r="K83" s="84">
        <v>0</v>
      </c>
      <c r="L83" s="82" t="str">
        <f t="shared" si="2"/>
        <v>Sales</v>
      </c>
    </row>
    <row r="84" spans="1:12" x14ac:dyDescent="0.35">
      <c r="A84" t="s">
        <v>91</v>
      </c>
      <c r="B84" t="s">
        <v>355</v>
      </c>
      <c r="C84" s="82" t="s">
        <v>356</v>
      </c>
      <c r="D84" t="s">
        <v>169</v>
      </c>
      <c r="E84" t="s">
        <v>175</v>
      </c>
      <c r="F84" s="76">
        <v>42262</v>
      </c>
      <c r="G84" s="80">
        <v>42582</v>
      </c>
      <c r="H84">
        <v>1</v>
      </c>
      <c r="I84" t="s">
        <v>178</v>
      </c>
      <c r="J84" t="s">
        <v>247</v>
      </c>
      <c r="K84" s="84">
        <v>0</v>
      </c>
      <c r="L84" s="82" t="str">
        <f t="shared" si="2"/>
        <v>IT</v>
      </c>
    </row>
    <row r="85" spans="1:12" x14ac:dyDescent="0.35">
      <c r="A85" t="s">
        <v>92</v>
      </c>
      <c r="B85" t="s">
        <v>363</v>
      </c>
      <c r="C85" s="82" t="s">
        <v>364</v>
      </c>
      <c r="D85" t="s">
        <v>168</v>
      </c>
      <c r="E85" t="s">
        <v>174</v>
      </c>
      <c r="F85" s="76">
        <v>99621</v>
      </c>
      <c r="G85" s="80">
        <v>42589</v>
      </c>
      <c r="H85">
        <v>3</v>
      </c>
      <c r="I85" t="s">
        <v>179</v>
      </c>
      <c r="J85" t="s">
        <v>248</v>
      </c>
      <c r="K85" s="84">
        <v>0</v>
      </c>
      <c r="L85" s="82" t="str">
        <f t="shared" si="2"/>
        <v>Sales</v>
      </c>
    </row>
    <row r="86" spans="1:12" x14ac:dyDescent="0.35">
      <c r="A86" t="s">
        <v>93</v>
      </c>
      <c r="B86" t="s">
        <v>359</v>
      </c>
      <c r="C86" s="82" t="s">
        <v>360</v>
      </c>
      <c r="D86" t="s">
        <v>170</v>
      </c>
      <c r="E86" t="s">
        <v>174</v>
      </c>
      <c r="F86" s="76">
        <v>44682</v>
      </c>
      <c r="G86" s="80">
        <v>42596</v>
      </c>
      <c r="H86">
        <v>4</v>
      </c>
      <c r="I86" t="s">
        <v>181</v>
      </c>
      <c r="J86" t="s">
        <v>220</v>
      </c>
      <c r="K86" s="84">
        <v>0</v>
      </c>
      <c r="L86" s="82" t="str">
        <f t="shared" si="2"/>
        <v>Marketing</v>
      </c>
    </row>
    <row r="87" spans="1:12" x14ac:dyDescent="0.35">
      <c r="A87" t="s">
        <v>94</v>
      </c>
      <c r="B87" t="s">
        <v>365</v>
      </c>
      <c r="C87" s="82" t="s">
        <v>366</v>
      </c>
      <c r="D87" t="s">
        <v>166</v>
      </c>
      <c r="E87" t="s">
        <v>178</v>
      </c>
      <c r="F87" s="76">
        <v>35163</v>
      </c>
      <c r="G87" s="80">
        <v>42603</v>
      </c>
      <c r="H87">
        <v>5</v>
      </c>
      <c r="I87" t="s">
        <v>179</v>
      </c>
      <c r="J87" t="s">
        <v>249</v>
      </c>
      <c r="K87" s="84">
        <v>0</v>
      </c>
      <c r="L87" s="82" t="str">
        <f t="shared" si="2"/>
        <v>Finance</v>
      </c>
    </row>
    <row r="88" spans="1:12" x14ac:dyDescent="0.35">
      <c r="A88" t="s">
        <v>95</v>
      </c>
      <c r="B88" t="s">
        <v>365</v>
      </c>
      <c r="C88" s="82" t="s">
        <v>366</v>
      </c>
      <c r="D88" t="s">
        <v>169</v>
      </c>
      <c r="E88" t="s">
        <v>174</v>
      </c>
      <c r="F88" s="76">
        <v>33483</v>
      </c>
      <c r="G88" s="80">
        <v>42610</v>
      </c>
      <c r="H88">
        <v>4</v>
      </c>
      <c r="I88" t="s">
        <v>180</v>
      </c>
      <c r="J88" t="s">
        <v>250</v>
      </c>
      <c r="K88" s="84">
        <v>0</v>
      </c>
      <c r="L88" s="82" t="str">
        <f t="shared" si="2"/>
        <v>IT</v>
      </c>
    </row>
    <row r="89" spans="1:12" x14ac:dyDescent="0.35">
      <c r="A89" t="s">
        <v>96</v>
      </c>
      <c r="B89" t="s">
        <v>363</v>
      </c>
      <c r="C89" s="82" t="s">
        <v>364</v>
      </c>
      <c r="D89" t="s">
        <v>167</v>
      </c>
      <c r="E89" t="s">
        <v>172</v>
      </c>
      <c r="F89" s="76">
        <v>55303</v>
      </c>
      <c r="G89" s="80">
        <v>42617</v>
      </c>
      <c r="H89">
        <v>4</v>
      </c>
      <c r="I89" t="s">
        <v>180</v>
      </c>
      <c r="J89" t="s">
        <v>203</v>
      </c>
      <c r="K89" s="84">
        <v>0</v>
      </c>
      <c r="L89" s="82" t="str">
        <f t="shared" si="2"/>
        <v>HR</v>
      </c>
    </row>
    <row r="90" spans="1:12" x14ac:dyDescent="0.35">
      <c r="A90" t="s">
        <v>97</v>
      </c>
      <c r="B90" t="s">
        <v>365</v>
      </c>
      <c r="C90" s="82" t="s">
        <v>366</v>
      </c>
      <c r="D90" t="s">
        <v>169</v>
      </c>
      <c r="E90" t="s">
        <v>178</v>
      </c>
      <c r="F90" s="76">
        <v>63434</v>
      </c>
      <c r="G90" s="80">
        <v>42624</v>
      </c>
      <c r="H90">
        <v>3</v>
      </c>
      <c r="I90" t="s">
        <v>178</v>
      </c>
      <c r="J90" t="s">
        <v>251</v>
      </c>
      <c r="K90" s="84">
        <v>0</v>
      </c>
      <c r="L90" s="82" t="str">
        <f t="shared" si="2"/>
        <v>IT</v>
      </c>
    </row>
    <row r="91" spans="1:12" x14ac:dyDescent="0.35">
      <c r="A91" t="s">
        <v>98</v>
      </c>
      <c r="B91" t="s">
        <v>361</v>
      </c>
      <c r="C91" s="82" t="s">
        <v>362</v>
      </c>
      <c r="D91" t="s">
        <v>178</v>
      </c>
      <c r="E91" t="s">
        <v>176</v>
      </c>
      <c r="F91" s="76">
        <v>38830</v>
      </c>
      <c r="G91" s="80">
        <v>42631</v>
      </c>
      <c r="H91">
        <v>3</v>
      </c>
      <c r="I91" t="s">
        <v>179</v>
      </c>
      <c r="J91" t="s">
        <v>203</v>
      </c>
      <c r="K91" s="84">
        <v>0</v>
      </c>
      <c r="L91" s="82" t="str">
        <f t="shared" si="2"/>
        <v>Unknown</v>
      </c>
    </row>
    <row r="92" spans="1:12" x14ac:dyDescent="0.35">
      <c r="A92" t="s">
        <v>99</v>
      </c>
      <c r="B92" t="s">
        <v>178</v>
      </c>
      <c r="C92"/>
      <c r="D92" t="s">
        <v>170</v>
      </c>
      <c r="E92" t="s">
        <v>175</v>
      </c>
      <c r="F92" s="76">
        <v>50741</v>
      </c>
      <c r="G92" s="80">
        <v>42638</v>
      </c>
      <c r="H92">
        <v>3</v>
      </c>
      <c r="I92" t="s">
        <v>178</v>
      </c>
      <c r="J92" t="s">
        <v>240</v>
      </c>
      <c r="K92" s="84">
        <v>0</v>
      </c>
      <c r="L92" s="82" t="str">
        <f t="shared" si="2"/>
        <v>Marketing</v>
      </c>
    </row>
    <row r="93" spans="1:12" x14ac:dyDescent="0.35">
      <c r="A93" t="s">
        <v>100</v>
      </c>
      <c r="B93" t="s">
        <v>357</v>
      </c>
      <c r="C93" s="82" t="s">
        <v>358</v>
      </c>
      <c r="D93" t="s">
        <v>167</v>
      </c>
      <c r="E93" t="s">
        <v>176</v>
      </c>
      <c r="F93" s="76">
        <v>69420</v>
      </c>
      <c r="G93" s="80">
        <v>42645</v>
      </c>
      <c r="H93">
        <v>1</v>
      </c>
      <c r="I93" t="s">
        <v>180</v>
      </c>
      <c r="J93" t="s">
        <v>225</v>
      </c>
      <c r="K93" s="84">
        <v>0</v>
      </c>
      <c r="L93" s="82" t="str">
        <f t="shared" si="2"/>
        <v>HR</v>
      </c>
    </row>
    <row r="94" spans="1:12" x14ac:dyDescent="0.35">
      <c r="A94" t="s">
        <v>101</v>
      </c>
      <c r="B94" t="s">
        <v>361</v>
      </c>
      <c r="C94" s="82" t="s">
        <v>362</v>
      </c>
      <c r="D94" t="s">
        <v>169</v>
      </c>
      <c r="E94" t="s">
        <v>178</v>
      </c>
      <c r="F94" s="76">
        <v>80588</v>
      </c>
      <c r="G94" s="80">
        <v>42652</v>
      </c>
      <c r="H94">
        <v>5</v>
      </c>
      <c r="I94" t="s">
        <v>180</v>
      </c>
      <c r="J94" t="s">
        <v>216</v>
      </c>
      <c r="K94" s="84">
        <v>0</v>
      </c>
      <c r="L94" s="82" t="str">
        <f t="shared" si="2"/>
        <v>IT</v>
      </c>
    </row>
    <row r="95" spans="1:12" x14ac:dyDescent="0.35">
      <c r="A95" t="s">
        <v>102</v>
      </c>
      <c r="B95" t="s">
        <v>357</v>
      </c>
      <c r="C95" s="82" t="s">
        <v>358</v>
      </c>
      <c r="D95" t="s">
        <v>178</v>
      </c>
      <c r="E95" t="s">
        <v>173</v>
      </c>
      <c r="F95" s="76">
        <v>76238</v>
      </c>
      <c r="G95" s="80">
        <v>42659</v>
      </c>
      <c r="H95">
        <v>4</v>
      </c>
      <c r="I95" t="s">
        <v>180</v>
      </c>
      <c r="J95" t="s">
        <v>252</v>
      </c>
      <c r="K95" s="84">
        <v>0</v>
      </c>
      <c r="L95" s="82" t="str">
        <f t="shared" si="2"/>
        <v>Unknown</v>
      </c>
    </row>
    <row r="96" spans="1:12" x14ac:dyDescent="0.35">
      <c r="A96" t="s">
        <v>103</v>
      </c>
      <c r="B96" t="s">
        <v>367</v>
      </c>
      <c r="C96" s="82" t="s">
        <v>368</v>
      </c>
      <c r="D96" t="s">
        <v>169</v>
      </c>
      <c r="E96" t="s">
        <v>174</v>
      </c>
      <c r="F96" s="76">
        <v>33264</v>
      </c>
      <c r="G96" s="80">
        <v>42666</v>
      </c>
      <c r="H96">
        <v>3</v>
      </c>
      <c r="I96" t="s">
        <v>181</v>
      </c>
      <c r="J96" t="s">
        <v>253</v>
      </c>
      <c r="K96" s="84">
        <v>0</v>
      </c>
      <c r="L96" s="82" t="str">
        <f t="shared" si="2"/>
        <v>IT</v>
      </c>
    </row>
    <row r="97" spans="1:12" x14ac:dyDescent="0.35">
      <c r="A97" t="s">
        <v>104</v>
      </c>
      <c r="B97" t="s">
        <v>357</v>
      </c>
      <c r="C97" s="82" t="s">
        <v>358</v>
      </c>
      <c r="D97" t="s">
        <v>166</v>
      </c>
      <c r="E97" t="s">
        <v>176</v>
      </c>
      <c r="F97" s="76">
        <v>96101</v>
      </c>
      <c r="G97" s="80">
        <v>42673</v>
      </c>
      <c r="H97">
        <v>3</v>
      </c>
      <c r="I97" t="s">
        <v>179</v>
      </c>
      <c r="J97" t="s">
        <v>254</v>
      </c>
      <c r="K97" s="84">
        <v>0</v>
      </c>
      <c r="L97" s="82" t="str">
        <f t="shared" si="2"/>
        <v>Finance</v>
      </c>
    </row>
    <row r="98" spans="1:12" x14ac:dyDescent="0.35">
      <c r="A98" t="s">
        <v>105</v>
      </c>
      <c r="B98" t="s">
        <v>361</v>
      </c>
      <c r="C98" s="82" t="s">
        <v>362</v>
      </c>
      <c r="D98" t="s">
        <v>166</v>
      </c>
      <c r="E98" t="s">
        <v>173</v>
      </c>
      <c r="F98" s="76">
        <v>72939</v>
      </c>
      <c r="G98" s="80">
        <v>42680</v>
      </c>
      <c r="H98">
        <v>3</v>
      </c>
      <c r="I98" t="s">
        <v>178</v>
      </c>
      <c r="J98" t="s">
        <v>255</v>
      </c>
      <c r="K98" s="84">
        <v>0</v>
      </c>
      <c r="L98" s="82" t="str">
        <f t="shared" ref="L98:L129" si="3">TRIM(D98)</f>
        <v>Finance</v>
      </c>
    </row>
    <row r="99" spans="1:12" x14ac:dyDescent="0.35">
      <c r="A99" t="s">
        <v>106</v>
      </c>
      <c r="B99" t="s">
        <v>363</v>
      </c>
      <c r="C99" s="82" t="s">
        <v>364</v>
      </c>
      <c r="D99" t="s">
        <v>167</v>
      </c>
      <c r="E99" t="s">
        <v>172</v>
      </c>
      <c r="F99" s="76">
        <v>89333</v>
      </c>
      <c r="G99" s="80">
        <v>42687</v>
      </c>
      <c r="H99">
        <v>1</v>
      </c>
      <c r="I99" t="s">
        <v>180</v>
      </c>
      <c r="J99" t="s">
        <v>256</v>
      </c>
      <c r="K99" s="84">
        <v>0</v>
      </c>
      <c r="L99" s="82" t="str">
        <f t="shared" si="3"/>
        <v>HR</v>
      </c>
    </row>
    <row r="100" spans="1:12" x14ac:dyDescent="0.35">
      <c r="A100" t="s">
        <v>107</v>
      </c>
      <c r="B100" t="s">
        <v>367</v>
      </c>
      <c r="C100" s="82" t="s">
        <v>368</v>
      </c>
      <c r="D100" t="s">
        <v>169</v>
      </c>
      <c r="E100" t="s">
        <v>176</v>
      </c>
      <c r="F100" s="76">
        <v>70470</v>
      </c>
      <c r="G100" s="80">
        <v>42694</v>
      </c>
      <c r="H100">
        <v>3</v>
      </c>
      <c r="I100" t="s">
        <v>180</v>
      </c>
      <c r="J100" t="s">
        <v>257</v>
      </c>
      <c r="K100" s="84">
        <v>0</v>
      </c>
      <c r="L100" s="82" t="str">
        <f t="shared" si="3"/>
        <v>IT</v>
      </c>
    </row>
    <row r="101" spans="1:12" x14ac:dyDescent="0.35">
      <c r="A101" t="s">
        <v>108</v>
      </c>
      <c r="B101" t="s">
        <v>355</v>
      </c>
      <c r="C101" s="82" t="s">
        <v>356</v>
      </c>
      <c r="D101" t="s">
        <v>170</v>
      </c>
      <c r="E101" t="s">
        <v>173</v>
      </c>
      <c r="F101" s="76">
        <v>70096</v>
      </c>
      <c r="G101" s="80">
        <v>42701</v>
      </c>
      <c r="H101">
        <v>4</v>
      </c>
      <c r="I101" t="s">
        <v>180</v>
      </c>
      <c r="J101" t="s">
        <v>258</v>
      </c>
      <c r="K101" s="84">
        <v>0</v>
      </c>
      <c r="L101" s="82" t="str">
        <f t="shared" si="3"/>
        <v>Marketing</v>
      </c>
    </row>
    <row r="102" spans="1:12" x14ac:dyDescent="0.35">
      <c r="A102" t="s">
        <v>109</v>
      </c>
      <c r="B102" t="s">
        <v>367</v>
      </c>
      <c r="C102" s="82" t="s">
        <v>368</v>
      </c>
      <c r="D102" t="s">
        <v>170</v>
      </c>
      <c r="E102" t="s">
        <v>171</v>
      </c>
      <c r="F102" s="76" t="s">
        <v>177</v>
      </c>
      <c r="G102" s="80">
        <v>42708</v>
      </c>
      <c r="H102">
        <v>2</v>
      </c>
      <c r="I102" t="s">
        <v>179</v>
      </c>
      <c r="J102" t="s">
        <v>259</v>
      </c>
      <c r="K102" s="84">
        <v>0</v>
      </c>
      <c r="L102" s="82" t="str">
        <f t="shared" si="3"/>
        <v>Marketing</v>
      </c>
    </row>
    <row r="103" spans="1:12" x14ac:dyDescent="0.35">
      <c r="A103" t="s">
        <v>110</v>
      </c>
      <c r="B103" t="s">
        <v>367</v>
      </c>
      <c r="C103" s="82" t="s">
        <v>368</v>
      </c>
      <c r="D103" t="s">
        <v>169</v>
      </c>
      <c r="E103" t="s">
        <v>172</v>
      </c>
      <c r="F103" s="76">
        <v>66503</v>
      </c>
      <c r="G103" s="80">
        <v>42715</v>
      </c>
      <c r="H103">
        <v>3</v>
      </c>
      <c r="I103" t="s">
        <v>180</v>
      </c>
      <c r="J103" t="s">
        <v>200</v>
      </c>
      <c r="K103" s="84">
        <v>0</v>
      </c>
      <c r="L103" s="82" t="str">
        <f t="shared" si="3"/>
        <v>IT</v>
      </c>
    </row>
    <row r="104" spans="1:12" x14ac:dyDescent="0.35">
      <c r="A104" t="s">
        <v>111</v>
      </c>
      <c r="B104" t="s">
        <v>357</v>
      </c>
      <c r="C104" s="82" t="s">
        <v>358</v>
      </c>
      <c r="D104" t="s">
        <v>167</v>
      </c>
      <c r="E104" t="s">
        <v>172</v>
      </c>
      <c r="F104" s="76">
        <v>42096</v>
      </c>
      <c r="G104" s="80">
        <v>42722</v>
      </c>
      <c r="H104">
        <v>3</v>
      </c>
      <c r="I104" t="s">
        <v>181</v>
      </c>
      <c r="J104" t="s">
        <v>260</v>
      </c>
      <c r="K104" s="84">
        <v>0</v>
      </c>
      <c r="L104" s="82" t="str">
        <f t="shared" si="3"/>
        <v>HR</v>
      </c>
    </row>
    <row r="105" spans="1:12" x14ac:dyDescent="0.35">
      <c r="A105" t="s">
        <v>112</v>
      </c>
      <c r="B105" t="s">
        <v>357</v>
      </c>
      <c r="C105" s="82" t="s">
        <v>358</v>
      </c>
      <c r="D105" t="s">
        <v>170</v>
      </c>
      <c r="E105" t="s">
        <v>178</v>
      </c>
      <c r="F105" s="76">
        <v>79145</v>
      </c>
      <c r="G105" s="80">
        <v>42729</v>
      </c>
      <c r="H105">
        <v>5</v>
      </c>
      <c r="I105" t="s">
        <v>179</v>
      </c>
      <c r="J105" t="s">
        <v>223</v>
      </c>
      <c r="K105" s="84">
        <v>0</v>
      </c>
      <c r="L105" s="82" t="str">
        <f t="shared" si="3"/>
        <v>Marketing</v>
      </c>
    </row>
    <row r="106" spans="1:12" x14ac:dyDescent="0.35">
      <c r="A106" t="s">
        <v>113</v>
      </c>
      <c r="B106" t="s">
        <v>361</v>
      </c>
      <c r="C106" s="82" t="s">
        <v>362</v>
      </c>
      <c r="D106" t="s">
        <v>178</v>
      </c>
      <c r="E106" t="s">
        <v>176</v>
      </c>
      <c r="F106" s="76">
        <v>61556</v>
      </c>
      <c r="G106" s="80">
        <v>42736</v>
      </c>
      <c r="H106">
        <v>1</v>
      </c>
      <c r="I106" t="s">
        <v>178</v>
      </c>
      <c r="J106" t="s">
        <v>259</v>
      </c>
      <c r="K106" s="84">
        <v>0</v>
      </c>
      <c r="L106" s="82" t="str">
        <f t="shared" si="3"/>
        <v>Unknown</v>
      </c>
    </row>
    <row r="107" spans="1:12" x14ac:dyDescent="0.35">
      <c r="A107" t="s">
        <v>114</v>
      </c>
      <c r="B107" t="s">
        <v>178</v>
      </c>
      <c r="C107"/>
      <c r="D107" t="s">
        <v>167</v>
      </c>
      <c r="E107" t="s">
        <v>175</v>
      </c>
      <c r="F107" s="76">
        <v>87963</v>
      </c>
      <c r="G107" s="80">
        <v>42743</v>
      </c>
      <c r="H107">
        <v>3</v>
      </c>
      <c r="I107" t="s">
        <v>179</v>
      </c>
      <c r="J107" t="s">
        <v>182</v>
      </c>
      <c r="K107" s="84">
        <v>0</v>
      </c>
      <c r="L107" s="82" t="str">
        <f t="shared" si="3"/>
        <v>HR</v>
      </c>
    </row>
    <row r="108" spans="1:12" x14ac:dyDescent="0.35">
      <c r="A108" t="s">
        <v>115</v>
      </c>
      <c r="B108" t="s">
        <v>355</v>
      </c>
      <c r="C108" s="82" t="s">
        <v>356</v>
      </c>
      <c r="D108" t="s">
        <v>169</v>
      </c>
      <c r="E108" t="s">
        <v>178</v>
      </c>
      <c r="F108" s="76">
        <v>48325</v>
      </c>
      <c r="G108" s="80">
        <v>42750</v>
      </c>
      <c r="H108">
        <v>3</v>
      </c>
      <c r="I108" t="s">
        <v>180</v>
      </c>
      <c r="J108" t="s">
        <v>261</v>
      </c>
      <c r="K108" s="84">
        <v>0</v>
      </c>
      <c r="L108" s="82" t="str">
        <f t="shared" si="3"/>
        <v>IT</v>
      </c>
    </row>
    <row r="109" spans="1:12" x14ac:dyDescent="0.35">
      <c r="A109" t="s">
        <v>116</v>
      </c>
      <c r="B109" t="s">
        <v>363</v>
      </c>
      <c r="C109" s="82" t="s">
        <v>364</v>
      </c>
      <c r="D109" t="s">
        <v>170</v>
      </c>
      <c r="E109" t="s">
        <v>176</v>
      </c>
      <c r="F109" s="76">
        <v>86412</v>
      </c>
      <c r="G109" s="80">
        <v>42757</v>
      </c>
      <c r="H109">
        <v>2</v>
      </c>
      <c r="I109" t="s">
        <v>181</v>
      </c>
      <c r="J109" t="s">
        <v>202</v>
      </c>
      <c r="K109" s="84">
        <v>0</v>
      </c>
      <c r="L109" s="82" t="str">
        <f t="shared" si="3"/>
        <v>Marketing</v>
      </c>
    </row>
    <row r="110" spans="1:12" x14ac:dyDescent="0.35">
      <c r="A110" t="s">
        <v>117</v>
      </c>
      <c r="B110" t="s">
        <v>363</v>
      </c>
      <c r="C110" s="82" t="s">
        <v>364</v>
      </c>
      <c r="D110" t="s">
        <v>167</v>
      </c>
      <c r="E110" t="s">
        <v>178</v>
      </c>
      <c r="F110" s="76">
        <v>66761</v>
      </c>
      <c r="G110" s="80">
        <v>42764</v>
      </c>
      <c r="H110">
        <v>1</v>
      </c>
      <c r="I110" t="s">
        <v>178</v>
      </c>
      <c r="J110" t="s">
        <v>262</v>
      </c>
      <c r="K110" s="84">
        <v>0</v>
      </c>
      <c r="L110" s="82" t="str">
        <f t="shared" si="3"/>
        <v>HR</v>
      </c>
    </row>
    <row r="111" spans="1:12" x14ac:dyDescent="0.35">
      <c r="A111" t="s">
        <v>118</v>
      </c>
      <c r="B111" t="s">
        <v>361</v>
      </c>
      <c r="C111" s="82" t="s">
        <v>362</v>
      </c>
      <c r="D111" t="s">
        <v>178</v>
      </c>
      <c r="E111" t="s">
        <v>174</v>
      </c>
      <c r="F111" s="76">
        <v>88850</v>
      </c>
      <c r="G111" s="80">
        <v>42771</v>
      </c>
      <c r="H111">
        <v>1</v>
      </c>
      <c r="I111" t="s">
        <v>181</v>
      </c>
      <c r="J111" t="s">
        <v>263</v>
      </c>
      <c r="K111" s="84">
        <v>0</v>
      </c>
      <c r="L111" s="82" t="str">
        <f t="shared" si="3"/>
        <v>Unknown</v>
      </c>
    </row>
    <row r="112" spans="1:12" x14ac:dyDescent="0.35">
      <c r="A112" t="s">
        <v>119</v>
      </c>
      <c r="B112" t="s">
        <v>365</v>
      </c>
      <c r="C112" s="82" t="s">
        <v>366</v>
      </c>
      <c r="D112" t="s">
        <v>168</v>
      </c>
      <c r="E112" t="s">
        <v>174</v>
      </c>
      <c r="F112" s="76">
        <v>31293</v>
      </c>
      <c r="G112" s="80">
        <v>42781</v>
      </c>
      <c r="H112">
        <v>2</v>
      </c>
      <c r="I112" t="s">
        <v>181</v>
      </c>
      <c r="J112" t="s">
        <v>264</v>
      </c>
      <c r="K112" s="84">
        <v>0</v>
      </c>
      <c r="L112" s="82" t="str">
        <f t="shared" si="3"/>
        <v>Sales</v>
      </c>
    </row>
    <row r="113" spans="1:12" x14ac:dyDescent="0.35">
      <c r="A113" t="s">
        <v>120</v>
      </c>
      <c r="B113" t="s">
        <v>365</v>
      </c>
      <c r="C113" s="82" t="s">
        <v>366</v>
      </c>
      <c r="D113" t="s">
        <v>169</v>
      </c>
      <c r="E113" t="s">
        <v>173</v>
      </c>
      <c r="F113" s="76">
        <v>34306</v>
      </c>
      <c r="G113" s="80">
        <v>42785</v>
      </c>
      <c r="H113">
        <v>5</v>
      </c>
      <c r="I113" t="s">
        <v>181</v>
      </c>
      <c r="J113" t="s">
        <v>239</v>
      </c>
      <c r="K113" s="84">
        <v>0</v>
      </c>
      <c r="L113" s="82" t="str">
        <f t="shared" si="3"/>
        <v>IT</v>
      </c>
    </row>
    <row r="114" spans="1:12" x14ac:dyDescent="0.35">
      <c r="A114" t="s">
        <v>121</v>
      </c>
      <c r="B114" t="s">
        <v>355</v>
      </c>
      <c r="C114" s="82" t="s">
        <v>356</v>
      </c>
      <c r="D114" t="s">
        <v>166</v>
      </c>
      <c r="E114" t="s">
        <v>174</v>
      </c>
      <c r="F114" s="76">
        <v>78330</v>
      </c>
      <c r="G114" s="80">
        <v>42792</v>
      </c>
      <c r="H114">
        <v>3</v>
      </c>
      <c r="I114" t="s">
        <v>179</v>
      </c>
      <c r="J114" t="s">
        <v>258</v>
      </c>
      <c r="K114" s="84">
        <v>0</v>
      </c>
      <c r="L114" s="82" t="str">
        <f t="shared" si="3"/>
        <v>Finance</v>
      </c>
    </row>
    <row r="115" spans="1:12" x14ac:dyDescent="0.35">
      <c r="A115" t="s">
        <v>122</v>
      </c>
      <c r="B115" t="s">
        <v>357</v>
      </c>
      <c r="C115" s="82" t="s">
        <v>358</v>
      </c>
      <c r="D115" t="s">
        <v>169</v>
      </c>
      <c r="E115" t="s">
        <v>173</v>
      </c>
      <c r="F115" s="76">
        <v>47653</v>
      </c>
      <c r="G115" s="80">
        <v>42799</v>
      </c>
      <c r="H115">
        <v>1</v>
      </c>
      <c r="I115" t="s">
        <v>180</v>
      </c>
      <c r="J115" t="s">
        <v>265</v>
      </c>
      <c r="K115" s="84">
        <v>0</v>
      </c>
      <c r="L115" s="82" t="str">
        <f t="shared" si="3"/>
        <v>IT</v>
      </c>
    </row>
    <row r="116" spans="1:12" x14ac:dyDescent="0.35">
      <c r="A116" t="s">
        <v>123</v>
      </c>
      <c r="B116" t="s">
        <v>355</v>
      </c>
      <c r="C116" s="82" t="s">
        <v>356</v>
      </c>
      <c r="D116" t="s">
        <v>170</v>
      </c>
      <c r="E116" t="s">
        <v>175</v>
      </c>
      <c r="F116" s="76">
        <v>44627</v>
      </c>
      <c r="G116" s="80">
        <v>42806</v>
      </c>
      <c r="H116">
        <v>4</v>
      </c>
      <c r="I116" t="s">
        <v>178</v>
      </c>
      <c r="J116" t="s">
        <v>235</v>
      </c>
      <c r="K116" s="84">
        <v>0</v>
      </c>
      <c r="L116" s="82" t="str">
        <f t="shared" si="3"/>
        <v>Marketing</v>
      </c>
    </row>
    <row r="117" spans="1:12" x14ac:dyDescent="0.35">
      <c r="A117" t="s">
        <v>124</v>
      </c>
      <c r="B117" t="s">
        <v>367</v>
      </c>
      <c r="C117" s="82" t="s">
        <v>368</v>
      </c>
      <c r="D117" t="s">
        <v>167</v>
      </c>
      <c r="E117" t="s">
        <v>172</v>
      </c>
      <c r="F117" s="76">
        <v>92343</v>
      </c>
      <c r="G117" s="80">
        <v>42813</v>
      </c>
      <c r="H117">
        <v>4</v>
      </c>
      <c r="I117" t="s">
        <v>181</v>
      </c>
      <c r="J117" t="s">
        <v>203</v>
      </c>
      <c r="K117" s="84">
        <v>0</v>
      </c>
      <c r="L117" s="82" t="str">
        <f t="shared" si="3"/>
        <v>HR</v>
      </c>
    </row>
    <row r="118" spans="1:12" x14ac:dyDescent="0.35">
      <c r="A118" t="s">
        <v>125</v>
      </c>
      <c r="B118" t="s">
        <v>367</v>
      </c>
      <c r="C118" s="82" t="s">
        <v>368</v>
      </c>
      <c r="D118" t="s">
        <v>170</v>
      </c>
      <c r="E118" t="s">
        <v>176</v>
      </c>
      <c r="F118" s="76">
        <v>38837</v>
      </c>
      <c r="G118" s="80">
        <v>42820</v>
      </c>
      <c r="H118">
        <v>5</v>
      </c>
      <c r="I118" t="s">
        <v>181</v>
      </c>
      <c r="J118" t="s">
        <v>239</v>
      </c>
      <c r="K118" s="84">
        <v>0</v>
      </c>
      <c r="L118" s="82" t="str">
        <f t="shared" si="3"/>
        <v>Marketing</v>
      </c>
    </row>
    <row r="119" spans="1:12" x14ac:dyDescent="0.35">
      <c r="A119" t="s">
        <v>126</v>
      </c>
      <c r="B119" t="s">
        <v>367</v>
      </c>
      <c r="C119" s="82" t="s">
        <v>368</v>
      </c>
      <c r="D119" t="s">
        <v>170</v>
      </c>
      <c r="E119" t="s">
        <v>178</v>
      </c>
      <c r="F119" s="76">
        <v>73483</v>
      </c>
      <c r="G119" s="80">
        <v>42827</v>
      </c>
      <c r="H119">
        <v>1</v>
      </c>
      <c r="I119" t="s">
        <v>178</v>
      </c>
      <c r="J119" t="s">
        <v>266</v>
      </c>
      <c r="K119" s="84">
        <v>0</v>
      </c>
      <c r="L119" s="82" t="str">
        <f t="shared" si="3"/>
        <v>Marketing</v>
      </c>
    </row>
    <row r="120" spans="1:12" x14ac:dyDescent="0.35">
      <c r="A120" t="s">
        <v>127</v>
      </c>
      <c r="B120" t="s">
        <v>365</v>
      </c>
      <c r="C120" s="82" t="s">
        <v>366</v>
      </c>
      <c r="D120" t="s">
        <v>168</v>
      </c>
      <c r="E120" t="s">
        <v>174</v>
      </c>
      <c r="F120" s="76">
        <v>95032</v>
      </c>
      <c r="G120" s="80">
        <v>42834</v>
      </c>
      <c r="H120">
        <v>3</v>
      </c>
      <c r="I120" t="s">
        <v>178</v>
      </c>
      <c r="J120" t="s">
        <v>267</v>
      </c>
      <c r="K120" s="84">
        <v>0</v>
      </c>
      <c r="L120" s="82" t="str">
        <f t="shared" si="3"/>
        <v>Sales</v>
      </c>
    </row>
    <row r="121" spans="1:12" x14ac:dyDescent="0.35">
      <c r="A121" t="s">
        <v>128</v>
      </c>
      <c r="B121" t="s">
        <v>355</v>
      </c>
      <c r="C121" s="82" t="s">
        <v>356</v>
      </c>
      <c r="D121" t="s">
        <v>168</v>
      </c>
      <c r="E121" t="s">
        <v>176</v>
      </c>
      <c r="F121" s="76">
        <v>44358</v>
      </c>
      <c r="G121" s="80">
        <v>42841</v>
      </c>
      <c r="H121">
        <v>3</v>
      </c>
      <c r="I121" t="s">
        <v>181</v>
      </c>
      <c r="J121" t="s">
        <v>200</v>
      </c>
      <c r="K121" s="84">
        <v>0</v>
      </c>
      <c r="L121" s="82" t="str">
        <f t="shared" si="3"/>
        <v>Sales</v>
      </c>
    </row>
    <row r="122" spans="1:12" x14ac:dyDescent="0.35">
      <c r="A122" t="s">
        <v>129</v>
      </c>
      <c r="B122" t="s">
        <v>178</v>
      </c>
      <c r="C122"/>
      <c r="D122" t="s">
        <v>169</v>
      </c>
      <c r="E122" t="s">
        <v>173</v>
      </c>
      <c r="F122" s="76" t="s">
        <v>177</v>
      </c>
      <c r="G122" s="80">
        <v>42853</v>
      </c>
      <c r="H122">
        <v>5</v>
      </c>
      <c r="I122" t="s">
        <v>178</v>
      </c>
      <c r="J122" t="s">
        <v>268</v>
      </c>
      <c r="K122" s="84">
        <v>0</v>
      </c>
      <c r="L122" s="82" t="str">
        <f t="shared" si="3"/>
        <v>IT</v>
      </c>
    </row>
    <row r="123" spans="1:12" x14ac:dyDescent="0.35">
      <c r="A123" t="s">
        <v>130</v>
      </c>
      <c r="B123" t="s">
        <v>365</v>
      </c>
      <c r="C123" s="82" t="s">
        <v>366</v>
      </c>
      <c r="D123" t="s">
        <v>168</v>
      </c>
      <c r="E123" t="s">
        <v>173</v>
      </c>
      <c r="F123" s="76">
        <v>45676</v>
      </c>
      <c r="G123" s="80">
        <v>42855</v>
      </c>
      <c r="H123">
        <v>2</v>
      </c>
      <c r="I123" t="s">
        <v>178</v>
      </c>
      <c r="J123" t="s">
        <v>269</v>
      </c>
      <c r="K123" s="84">
        <v>0</v>
      </c>
      <c r="L123" s="82" t="str">
        <f t="shared" si="3"/>
        <v>Sales</v>
      </c>
    </row>
    <row r="124" spans="1:12" x14ac:dyDescent="0.35">
      <c r="A124" t="s">
        <v>131</v>
      </c>
      <c r="B124" t="s">
        <v>367</v>
      </c>
      <c r="C124" s="82" t="s">
        <v>368</v>
      </c>
      <c r="D124" t="s">
        <v>168</v>
      </c>
      <c r="E124" t="s">
        <v>172</v>
      </c>
      <c r="F124" s="76">
        <v>52036</v>
      </c>
      <c r="G124" s="80">
        <v>42862</v>
      </c>
      <c r="H124">
        <v>3</v>
      </c>
      <c r="I124" t="s">
        <v>180</v>
      </c>
      <c r="J124" t="s">
        <v>270</v>
      </c>
      <c r="K124" s="84">
        <v>0</v>
      </c>
      <c r="L124" s="82" t="str">
        <f t="shared" si="3"/>
        <v>Sales</v>
      </c>
    </row>
    <row r="125" spans="1:12" x14ac:dyDescent="0.35">
      <c r="A125" t="s">
        <v>132</v>
      </c>
      <c r="B125" t="s">
        <v>361</v>
      </c>
      <c r="C125" s="82" t="s">
        <v>362</v>
      </c>
      <c r="D125" t="s">
        <v>178</v>
      </c>
      <c r="E125" t="s">
        <v>172</v>
      </c>
      <c r="F125" s="76">
        <v>30357</v>
      </c>
      <c r="G125" s="80">
        <v>42869</v>
      </c>
      <c r="H125">
        <v>5</v>
      </c>
      <c r="I125" t="s">
        <v>180</v>
      </c>
      <c r="J125" t="s">
        <v>248</v>
      </c>
      <c r="K125" s="84">
        <v>0</v>
      </c>
      <c r="L125" s="82" t="str">
        <f t="shared" si="3"/>
        <v>Unknown</v>
      </c>
    </row>
    <row r="126" spans="1:12" x14ac:dyDescent="0.35">
      <c r="A126" t="s">
        <v>133</v>
      </c>
      <c r="B126" t="s">
        <v>359</v>
      </c>
      <c r="C126" s="82" t="s">
        <v>360</v>
      </c>
      <c r="D126" t="s">
        <v>169</v>
      </c>
      <c r="E126" t="s">
        <v>178</v>
      </c>
      <c r="F126" s="76">
        <v>60034</v>
      </c>
      <c r="G126" s="80">
        <v>42876</v>
      </c>
      <c r="H126">
        <v>1</v>
      </c>
      <c r="I126" t="s">
        <v>181</v>
      </c>
      <c r="J126" t="s">
        <v>271</v>
      </c>
      <c r="K126" s="84">
        <v>0</v>
      </c>
      <c r="L126" s="82" t="str">
        <f t="shared" si="3"/>
        <v>IT</v>
      </c>
    </row>
    <row r="127" spans="1:12" x14ac:dyDescent="0.35">
      <c r="A127" t="s">
        <v>134</v>
      </c>
      <c r="B127" t="s">
        <v>359</v>
      </c>
      <c r="C127" s="82" t="s">
        <v>360</v>
      </c>
      <c r="D127" t="s">
        <v>166</v>
      </c>
      <c r="E127" t="s">
        <v>171</v>
      </c>
      <c r="F127" s="76">
        <v>90019</v>
      </c>
      <c r="G127" s="80">
        <v>42883</v>
      </c>
      <c r="H127">
        <v>5</v>
      </c>
      <c r="I127" t="s">
        <v>178</v>
      </c>
      <c r="J127" t="s">
        <v>272</v>
      </c>
      <c r="K127" s="84">
        <v>0</v>
      </c>
      <c r="L127" s="82" t="str">
        <f t="shared" si="3"/>
        <v>Finance</v>
      </c>
    </row>
    <row r="128" spans="1:12" x14ac:dyDescent="0.35">
      <c r="A128" t="s">
        <v>135</v>
      </c>
      <c r="B128" t="s">
        <v>367</v>
      </c>
      <c r="C128" s="82" t="s">
        <v>368</v>
      </c>
      <c r="D128" t="s">
        <v>178</v>
      </c>
      <c r="E128" t="s">
        <v>172</v>
      </c>
      <c r="F128" s="76">
        <v>71494</v>
      </c>
      <c r="G128" s="80">
        <v>42890</v>
      </c>
      <c r="H128">
        <v>3</v>
      </c>
      <c r="I128" t="s">
        <v>180</v>
      </c>
      <c r="J128" t="s">
        <v>273</v>
      </c>
      <c r="K128" s="84">
        <v>0</v>
      </c>
      <c r="L128" s="82" t="str">
        <f t="shared" si="3"/>
        <v>Unknown</v>
      </c>
    </row>
    <row r="129" spans="1:12" x14ac:dyDescent="0.35">
      <c r="A129" t="s">
        <v>136</v>
      </c>
      <c r="B129" t="s">
        <v>359</v>
      </c>
      <c r="C129" s="82" t="s">
        <v>360</v>
      </c>
      <c r="D129" t="s">
        <v>166</v>
      </c>
      <c r="E129" t="s">
        <v>173</v>
      </c>
      <c r="F129" s="76">
        <v>91953</v>
      </c>
      <c r="G129" s="80">
        <v>42897</v>
      </c>
      <c r="H129">
        <v>2</v>
      </c>
      <c r="I129" t="s">
        <v>180</v>
      </c>
      <c r="J129" t="s">
        <v>209</v>
      </c>
      <c r="K129" s="84">
        <v>0</v>
      </c>
      <c r="L129" s="82" t="str">
        <f t="shared" si="3"/>
        <v>Finance</v>
      </c>
    </row>
    <row r="130" spans="1:12" x14ac:dyDescent="0.35">
      <c r="A130" t="s">
        <v>137</v>
      </c>
      <c r="B130" t="s">
        <v>365</v>
      </c>
      <c r="C130" s="82" t="s">
        <v>366</v>
      </c>
      <c r="D130" t="s">
        <v>168</v>
      </c>
      <c r="E130" t="s">
        <v>173</v>
      </c>
      <c r="F130" s="76">
        <v>30402</v>
      </c>
      <c r="G130" s="80">
        <v>42904</v>
      </c>
      <c r="H130">
        <v>1</v>
      </c>
      <c r="I130" t="s">
        <v>178</v>
      </c>
      <c r="J130" t="s">
        <v>274</v>
      </c>
      <c r="K130" s="84">
        <v>0</v>
      </c>
      <c r="L130" s="82" t="str">
        <f t="shared" ref="L130:L151" si="4">TRIM(D130)</f>
        <v>Sales</v>
      </c>
    </row>
    <row r="131" spans="1:12" x14ac:dyDescent="0.35">
      <c r="A131" t="s">
        <v>138</v>
      </c>
      <c r="B131" t="s">
        <v>367</v>
      </c>
      <c r="C131" s="82" t="s">
        <v>368</v>
      </c>
      <c r="D131" t="s">
        <v>178</v>
      </c>
      <c r="E131" t="s">
        <v>175</v>
      </c>
      <c r="F131" s="76">
        <v>62994</v>
      </c>
      <c r="G131" s="80">
        <v>42911</v>
      </c>
      <c r="H131">
        <v>3</v>
      </c>
      <c r="I131" t="s">
        <v>178</v>
      </c>
      <c r="J131" t="s">
        <v>221</v>
      </c>
      <c r="K131" s="84">
        <v>0</v>
      </c>
      <c r="L131" s="82" t="str">
        <f t="shared" si="4"/>
        <v>Unknown</v>
      </c>
    </row>
    <row r="132" spans="1:12" x14ac:dyDescent="0.35">
      <c r="A132" t="s">
        <v>139</v>
      </c>
      <c r="B132" t="s">
        <v>357</v>
      </c>
      <c r="C132" s="82" t="s">
        <v>358</v>
      </c>
      <c r="D132" t="s">
        <v>168</v>
      </c>
      <c r="E132" t="s">
        <v>174</v>
      </c>
      <c r="F132" s="76">
        <v>48289</v>
      </c>
      <c r="G132" s="80">
        <v>42920</v>
      </c>
      <c r="H132">
        <v>3</v>
      </c>
      <c r="I132" t="s">
        <v>180</v>
      </c>
      <c r="J132" t="s">
        <v>189</v>
      </c>
      <c r="K132" s="84">
        <v>0</v>
      </c>
      <c r="L132" s="82" t="str">
        <f t="shared" si="4"/>
        <v>Sales</v>
      </c>
    </row>
    <row r="133" spans="1:12" x14ac:dyDescent="0.35">
      <c r="A133" t="s">
        <v>140</v>
      </c>
      <c r="B133" t="s">
        <v>363</v>
      </c>
      <c r="C133" s="82" t="s">
        <v>364</v>
      </c>
      <c r="D133" t="s">
        <v>170</v>
      </c>
      <c r="E133" t="s">
        <v>172</v>
      </c>
      <c r="F133" s="76">
        <v>34402</v>
      </c>
      <c r="G133" s="80">
        <v>42925</v>
      </c>
      <c r="H133">
        <v>3</v>
      </c>
      <c r="I133" t="s">
        <v>179</v>
      </c>
      <c r="J133" t="s">
        <v>218</v>
      </c>
      <c r="K133" s="84">
        <v>0</v>
      </c>
      <c r="L133" s="82" t="str">
        <f t="shared" si="4"/>
        <v>Marketing</v>
      </c>
    </row>
    <row r="134" spans="1:12" x14ac:dyDescent="0.35">
      <c r="A134" t="s">
        <v>141</v>
      </c>
      <c r="B134" t="s">
        <v>355</v>
      </c>
      <c r="C134" s="82" t="s">
        <v>356</v>
      </c>
      <c r="D134" t="s">
        <v>167</v>
      </c>
      <c r="E134" t="s">
        <v>173</v>
      </c>
      <c r="F134" s="76">
        <v>38678</v>
      </c>
      <c r="G134" s="80">
        <v>42932</v>
      </c>
      <c r="H134">
        <v>3</v>
      </c>
      <c r="I134" t="s">
        <v>179</v>
      </c>
      <c r="J134" t="s">
        <v>275</v>
      </c>
      <c r="K134" s="84">
        <v>0</v>
      </c>
      <c r="L134" s="82" t="str">
        <f t="shared" si="4"/>
        <v>HR</v>
      </c>
    </row>
    <row r="135" spans="1:12" x14ac:dyDescent="0.35">
      <c r="A135" t="s">
        <v>142</v>
      </c>
      <c r="B135" t="s">
        <v>365</v>
      </c>
      <c r="C135" s="82" t="s">
        <v>366</v>
      </c>
      <c r="D135" t="s">
        <v>167</v>
      </c>
      <c r="E135" t="s">
        <v>172</v>
      </c>
      <c r="F135" s="76">
        <v>45758</v>
      </c>
      <c r="G135" s="80">
        <v>42939</v>
      </c>
      <c r="H135">
        <v>3</v>
      </c>
      <c r="I135" t="s">
        <v>178</v>
      </c>
      <c r="J135" t="s">
        <v>264</v>
      </c>
      <c r="K135" s="84">
        <v>0</v>
      </c>
      <c r="L135" s="82" t="str">
        <f t="shared" si="4"/>
        <v>HR</v>
      </c>
    </row>
    <row r="136" spans="1:12" x14ac:dyDescent="0.35">
      <c r="A136" t="s">
        <v>143</v>
      </c>
      <c r="B136" t="s">
        <v>355</v>
      </c>
      <c r="C136" s="82" t="s">
        <v>356</v>
      </c>
      <c r="D136" t="s">
        <v>170</v>
      </c>
      <c r="E136" t="s">
        <v>174</v>
      </c>
      <c r="F136" s="76">
        <v>62476</v>
      </c>
      <c r="G136" s="80">
        <v>42946</v>
      </c>
      <c r="H136">
        <v>1</v>
      </c>
      <c r="I136" t="s">
        <v>179</v>
      </c>
      <c r="J136" t="s">
        <v>231</v>
      </c>
      <c r="K136" s="84">
        <v>0</v>
      </c>
      <c r="L136" s="82" t="str">
        <f t="shared" si="4"/>
        <v>Marketing</v>
      </c>
    </row>
    <row r="137" spans="1:12" x14ac:dyDescent="0.35">
      <c r="A137" t="s">
        <v>144</v>
      </c>
      <c r="B137" t="s">
        <v>178</v>
      </c>
      <c r="C137"/>
      <c r="D137" t="s">
        <v>169</v>
      </c>
      <c r="E137" t="s">
        <v>175</v>
      </c>
      <c r="F137" s="76">
        <v>39280</v>
      </c>
      <c r="G137" s="80">
        <v>42953</v>
      </c>
      <c r="H137">
        <v>3</v>
      </c>
      <c r="I137" t="s">
        <v>181</v>
      </c>
      <c r="J137" t="s">
        <v>214</v>
      </c>
      <c r="K137" s="84">
        <v>0</v>
      </c>
      <c r="L137" s="82" t="str">
        <f t="shared" si="4"/>
        <v>IT</v>
      </c>
    </row>
    <row r="138" spans="1:12" x14ac:dyDescent="0.35">
      <c r="A138" t="s">
        <v>145</v>
      </c>
      <c r="B138" t="s">
        <v>361</v>
      </c>
      <c r="C138" s="82" t="s">
        <v>362</v>
      </c>
      <c r="D138" t="s">
        <v>166</v>
      </c>
      <c r="E138" t="s">
        <v>174</v>
      </c>
      <c r="F138" s="76">
        <v>60335</v>
      </c>
      <c r="G138" s="80">
        <v>42960</v>
      </c>
      <c r="H138">
        <v>4</v>
      </c>
      <c r="I138" t="s">
        <v>179</v>
      </c>
      <c r="J138" t="s">
        <v>227</v>
      </c>
      <c r="K138" s="84">
        <v>0</v>
      </c>
      <c r="L138" s="82" t="str">
        <f t="shared" si="4"/>
        <v>Finance</v>
      </c>
    </row>
    <row r="139" spans="1:12" x14ac:dyDescent="0.35">
      <c r="A139" t="s">
        <v>146</v>
      </c>
      <c r="B139" t="s">
        <v>365</v>
      </c>
      <c r="C139" s="82" t="s">
        <v>366</v>
      </c>
      <c r="D139" t="s">
        <v>167</v>
      </c>
      <c r="E139" t="s">
        <v>172</v>
      </c>
      <c r="F139" s="76">
        <v>84968</v>
      </c>
      <c r="G139" s="80">
        <v>42967</v>
      </c>
      <c r="H139">
        <v>3</v>
      </c>
      <c r="I139" t="s">
        <v>178</v>
      </c>
      <c r="J139" t="s">
        <v>276</v>
      </c>
      <c r="K139" s="84">
        <v>0</v>
      </c>
      <c r="L139" s="82" t="str">
        <f t="shared" si="4"/>
        <v>HR</v>
      </c>
    </row>
    <row r="140" spans="1:12" x14ac:dyDescent="0.35">
      <c r="A140" t="s">
        <v>147</v>
      </c>
      <c r="B140" t="s">
        <v>365</v>
      </c>
      <c r="C140" s="82" t="s">
        <v>366</v>
      </c>
      <c r="D140" t="s">
        <v>170</v>
      </c>
      <c r="E140" t="s">
        <v>176</v>
      </c>
      <c r="F140" s="76">
        <v>84750</v>
      </c>
      <c r="G140" s="80">
        <v>42974</v>
      </c>
      <c r="H140">
        <v>4</v>
      </c>
      <c r="I140" t="s">
        <v>181</v>
      </c>
      <c r="J140" t="s">
        <v>195</v>
      </c>
      <c r="K140" s="84">
        <v>0</v>
      </c>
      <c r="L140" s="82" t="str">
        <f t="shared" si="4"/>
        <v>Marketing</v>
      </c>
    </row>
    <row r="141" spans="1:12" x14ac:dyDescent="0.35">
      <c r="A141" t="s">
        <v>148</v>
      </c>
      <c r="B141" t="s">
        <v>367</v>
      </c>
      <c r="C141" s="82" t="s">
        <v>368</v>
      </c>
      <c r="D141" t="s">
        <v>169</v>
      </c>
      <c r="E141" t="s">
        <v>178</v>
      </c>
      <c r="F141" s="76">
        <v>73348</v>
      </c>
      <c r="G141" s="80">
        <v>42981</v>
      </c>
      <c r="H141">
        <v>2</v>
      </c>
      <c r="I141" t="s">
        <v>178</v>
      </c>
      <c r="J141" t="s">
        <v>243</v>
      </c>
      <c r="K141" s="84">
        <v>0</v>
      </c>
      <c r="L141" s="82" t="str">
        <f t="shared" si="4"/>
        <v>IT</v>
      </c>
    </row>
    <row r="142" spans="1:12" x14ac:dyDescent="0.35">
      <c r="A142" t="s">
        <v>149</v>
      </c>
      <c r="B142" t="s">
        <v>365</v>
      </c>
      <c r="C142" s="82" t="s">
        <v>366</v>
      </c>
      <c r="D142" t="s">
        <v>168</v>
      </c>
      <c r="E142" t="s">
        <v>173</v>
      </c>
      <c r="F142" s="76" t="s">
        <v>177</v>
      </c>
      <c r="G142" s="80">
        <v>42988</v>
      </c>
      <c r="H142">
        <v>4</v>
      </c>
      <c r="I142" t="s">
        <v>179</v>
      </c>
      <c r="J142" t="s">
        <v>182</v>
      </c>
      <c r="K142" s="84">
        <v>0</v>
      </c>
      <c r="L142" s="82" t="str">
        <f t="shared" si="4"/>
        <v>Sales</v>
      </c>
    </row>
    <row r="143" spans="1:12" x14ac:dyDescent="0.35">
      <c r="A143" t="s">
        <v>150</v>
      </c>
      <c r="B143" t="s">
        <v>361</v>
      </c>
      <c r="C143" s="82" t="s">
        <v>362</v>
      </c>
      <c r="D143" t="s">
        <v>170</v>
      </c>
      <c r="E143" t="s">
        <v>173</v>
      </c>
      <c r="F143" s="76">
        <v>66882</v>
      </c>
      <c r="G143" s="80">
        <v>42995</v>
      </c>
      <c r="H143">
        <v>5</v>
      </c>
      <c r="I143" t="s">
        <v>179</v>
      </c>
      <c r="J143" t="s">
        <v>207</v>
      </c>
      <c r="K143" s="84">
        <v>0</v>
      </c>
      <c r="L143" s="82" t="str">
        <f t="shared" si="4"/>
        <v>Marketing</v>
      </c>
    </row>
    <row r="144" spans="1:12" x14ac:dyDescent="0.35">
      <c r="A144" t="s">
        <v>151</v>
      </c>
      <c r="B144" t="s">
        <v>357</v>
      </c>
      <c r="C144" s="82" t="s">
        <v>358</v>
      </c>
      <c r="D144" t="s">
        <v>170</v>
      </c>
      <c r="E144" t="s">
        <v>178</v>
      </c>
      <c r="F144" s="76">
        <v>86775</v>
      </c>
      <c r="G144" s="80">
        <v>43002</v>
      </c>
      <c r="H144">
        <v>3</v>
      </c>
      <c r="I144" t="s">
        <v>179</v>
      </c>
      <c r="J144" t="s">
        <v>212</v>
      </c>
      <c r="K144" s="84">
        <v>0</v>
      </c>
      <c r="L144" s="82" t="str">
        <f t="shared" si="4"/>
        <v>Marketing</v>
      </c>
    </row>
    <row r="145" spans="1:12" x14ac:dyDescent="0.35">
      <c r="A145" t="s">
        <v>152</v>
      </c>
      <c r="B145" t="s">
        <v>365</v>
      </c>
      <c r="C145" s="82" t="s">
        <v>366</v>
      </c>
      <c r="D145" t="s">
        <v>168</v>
      </c>
      <c r="E145" t="s">
        <v>175</v>
      </c>
      <c r="F145" s="76">
        <v>91620</v>
      </c>
      <c r="G145" s="80">
        <v>43009</v>
      </c>
      <c r="H145">
        <v>3</v>
      </c>
      <c r="I145" t="s">
        <v>178</v>
      </c>
      <c r="J145" t="s">
        <v>277</v>
      </c>
      <c r="K145" s="84">
        <v>0</v>
      </c>
      <c r="L145" s="82" t="str">
        <f t="shared" si="4"/>
        <v>Sales</v>
      </c>
    </row>
    <row r="146" spans="1:12" x14ac:dyDescent="0.35">
      <c r="A146" t="s">
        <v>153</v>
      </c>
      <c r="B146" t="s">
        <v>355</v>
      </c>
      <c r="C146" s="82" t="s">
        <v>356</v>
      </c>
      <c r="D146" t="s">
        <v>178</v>
      </c>
      <c r="E146" t="s">
        <v>178</v>
      </c>
      <c r="F146" s="76">
        <v>94148</v>
      </c>
      <c r="G146" s="80">
        <v>43016</v>
      </c>
      <c r="H146">
        <v>2</v>
      </c>
      <c r="I146" t="s">
        <v>178</v>
      </c>
      <c r="J146" t="s">
        <v>278</v>
      </c>
      <c r="K146" s="84">
        <v>0</v>
      </c>
      <c r="L146" s="82" t="str">
        <f t="shared" si="4"/>
        <v>Unknown</v>
      </c>
    </row>
    <row r="147" spans="1:12" x14ac:dyDescent="0.35">
      <c r="A147" t="s">
        <v>154</v>
      </c>
      <c r="B147" t="s">
        <v>363</v>
      </c>
      <c r="C147" s="82" t="s">
        <v>364</v>
      </c>
      <c r="D147" t="s">
        <v>168</v>
      </c>
      <c r="E147" t="s">
        <v>176</v>
      </c>
      <c r="F147" s="76">
        <v>35627</v>
      </c>
      <c r="G147" s="80">
        <v>43023</v>
      </c>
      <c r="H147">
        <v>5</v>
      </c>
      <c r="I147" t="s">
        <v>181</v>
      </c>
      <c r="J147" t="s">
        <v>275</v>
      </c>
      <c r="K147" s="84">
        <v>0</v>
      </c>
      <c r="L147" s="82" t="str">
        <f t="shared" si="4"/>
        <v>Sales</v>
      </c>
    </row>
    <row r="148" spans="1:12" x14ac:dyDescent="0.35">
      <c r="A148" t="s">
        <v>155</v>
      </c>
      <c r="B148" t="s">
        <v>359</v>
      </c>
      <c r="C148" s="82" t="s">
        <v>360</v>
      </c>
      <c r="D148" t="s">
        <v>170</v>
      </c>
      <c r="E148" t="s">
        <v>173</v>
      </c>
      <c r="F148" s="76">
        <v>57141</v>
      </c>
      <c r="G148" s="80">
        <v>43030</v>
      </c>
      <c r="H148">
        <v>2</v>
      </c>
      <c r="I148" t="s">
        <v>178</v>
      </c>
      <c r="J148" t="s">
        <v>276</v>
      </c>
      <c r="K148" s="84">
        <v>0</v>
      </c>
      <c r="L148" s="82" t="str">
        <f t="shared" si="4"/>
        <v>Marketing</v>
      </c>
    </row>
    <row r="149" spans="1:12" x14ac:dyDescent="0.35">
      <c r="A149" t="s">
        <v>156</v>
      </c>
      <c r="B149" t="s">
        <v>367</v>
      </c>
      <c r="C149" s="82" t="s">
        <v>368</v>
      </c>
      <c r="D149" t="s">
        <v>168</v>
      </c>
      <c r="E149" t="s">
        <v>176</v>
      </c>
      <c r="F149" s="76">
        <v>65270</v>
      </c>
      <c r="G149" s="80">
        <v>43037</v>
      </c>
      <c r="H149">
        <v>1</v>
      </c>
      <c r="I149" t="s">
        <v>178</v>
      </c>
      <c r="J149" t="s">
        <v>279</v>
      </c>
      <c r="K149" s="84">
        <v>0</v>
      </c>
      <c r="L149" s="82" t="str">
        <f t="shared" si="4"/>
        <v>Sales</v>
      </c>
    </row>
    <row r="150" spans="1:12" x14ac:dyDescent="0.35">
      <c r="A150" t="s">
        <v>157</v>
      </c>
      <c r="B150" t="s">
        <v>367</v>
      </c>
      <c r="C150" s="82" t="s">
        <v>368</v>
      </c>
      <c r="D150" t="s">
        <v>178</v>
      </c>
      <c r="E150" t="s">
        <v>175</v>
      </c>
      <c r="F150" s="76">
        <v>67335</v>
      </c>
      <c r="G150" s="80">
        <v>43044</v>
      </c>
      <c r="H150">
        <v>1</v>
      </c>
      <c r="I150" t="s">
        <v>179</v>
      </c>
      <c r="J150" t="s">
        <v>233</v>
      </c>
      <c r="K150" s="84">
        <v>0</v>
      </c>
      <c r="L150" s="82" t="str">
        <f t="shared" si="4"/>
        <v>Unknown</v>
      </c>
    </row>
    <row r="151" spans="1:12" x14ac:dyDescent="0.35">
      <c r="A151" t="s">
        <v>158</v>
      </c>
      <c r="B151" t="s">
        <v>363</v>
      </c>
      <c r="C151" s="82" t="s">
        <v>364</v>
      </c>
      <c r="D151" t="s">
        <v>170</v>
      </c>
      <c r="E151" t="s">
        <v>174</v>
      </c>
      <c r="F151" s="76">
        <v>98475</v>
      </c>
      <c r="G151" s="80">
        <v>43051</v>
      </c>
      <c r="H151">
        <v>5</v>
      </c>
      <c r="I151" t="s">
        <v>179</v>
      </c>
      <c r="J151" t="s">
        <v>280</v>
      </c>
      <c r="K151" s="84">
        <v>0</v>
      </c>
      <c r="L151" s="82" t="str">
        <f t="shared" si="4"/>
        <v>Marketing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048574"/>
  <sheetViews>
    <sheetView topLeftCell="D1" workbookViewId="0">
      <selection activeCell="J14" sqref="J14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7.81640625" bestFit="1" customWidth="1"/>
  </cols>
  <sheetData>
    <row r="1" spans="1:10" s="22" customFormat="1" ht="15.5" x14ac:dyDescent="0.35">
      <c r="A1" s="90" t="s">
        <v>0</v>
      </c>
      <c r="B1" s="91" t="s">
        <v>1</v>
      </c>
      <c r="C1" s="90" t="s">
        <v>2</v>
      </c>
      <c r="D1" s="90" t="s">
        <v>3</v>
      </c>
      <c r="E1" s="92" t="s">
        <v>4</v>
      </c>
      <c r="F1" s="93" t="s">
        <v>6</v>
      </c>
      <c r="G1" s="90" t="s">
        <v>7</v>
      </c>
      <c r="H1" s="90" t="s">
        <v>8</v>
      </c>
    </row>
    <row r="2" spans="1:10" ht="13" customHeight="1" x14ac:dyDescent="0.35">
      <c r="A2" s="94" t="s">
        <v>9</v>
      </c>
      <c r="B2" s="94"/>
      <c r="C2" s="94" t="s">
        <v>166</v>
      </c>
      <c r="D2" s="94" t="s">
        <v>171</v>
      </c>
      <c r="E2" s="95" t="s">
        <v>177</v>
      </c>
      <c r="F2" s="96">
        <v>2</v>
      </c>
      <c r="G2" s="94" t="s">
        <v>178</v>
      </c>
      <c r="H2" s="94" t="s">
        <v>182</v>
      </c>
      <c r="J2" s="100" t="s">
        <v>374</v>
      </c>
    </row>
    <row r="3" spans="1:10" x14ac:dyDescent="0.35">
      <c r="A3" s="94" t="s">
        <v>10</v>
      </c>
      <c r="B3" s="94" t="s">
        <v>159</v>
      </c>
      <c r="C3" s="94" t="s">
        <v>167</v>
      </c>
      <c r="D3" s="94" t="s">
        <v>172</v>
      </c>
      <c r="E3" s="97">
        <v>54255</v>
      </c>
      <c r="F3" s="96">
        <v>1</v>
      </c>
      <c r="G3" s="94" t="s">
        <v>179</v>
      </c>
      <c r="H3" s="94" t="s">
        <v>183</v>
      </c>
      <c r="J3" s="23" t="s">
        <v>375</v>
      </c>
    </row>
    <row r="4" spans="1:10" x14ac:dyDescent="0.35">
      <c r="A4" s="94" t="s">
        <v>11</v>
      </c>
      <c r="B4" s="94" t="s">
        <v>160</v>
      </c>
      <c r="C4" s="94" t="s">
        <v>166</v>
      </c>
      <c r="D4" s="94" t="s">
        <v>172</v>
      </c>
      <c r="E4" s="97">
        <v>63184</v>
      </c>
      <c r="F4" s="96">
        <v>2</v>
      </c>
      <c r="G4" s="94"/>
      <c r="H4" s="94" t="s">
        <v>184</v>
      </c>
      <c r="J4" s="38" t="s">
        <v>376</v>
      </c>
    </row>
    <row r="5" spans="1:10" x14ac:dyDescent="0.35">
      <c r="A5" s="94" t="s">
        <v>12</v>
      </c>
      <c r="B5" s="94" t="s">
        <v>161</v>
      </c>
      <c r="C5" s="94" t="s">
        <v>168</v>
      </c>
      <c r="D5" s="94" t="s">
        <v>173</v>
      </c>
      <c r="E5" s="97">
        <v>94406</v>
      </c>
      <c r="F5" s="96">
        <v>1</v>
      </c>
      <c r="G5" s="94" t="s">
        <v>180</v>
      </c>
      <c r="H5" s="94" t="s">
        <v>185</v>
      </c>
    </row>
    <row r="6" spans="1:10" x14ac:dyDescent="0.35">
      <c r="A6" s="94" t="s">
        <v>13</v>
      </c>
      <c r="B6" s="94" t="s">
        <v>162</v>
      </c>
      <c r="C6" s="94" t="s">
        <v>168</v>
      </c>
      <c r="D6" s="94" t="s">
        <v>172</v>
      </c>
      <c r="E6" s="97">
        <v>64120</v>
      </c>
      <c r="F6" s="96">
        <v>1</v>
      </c>
      <c r="G6" s="94" t="s">
        <v>180</v>
      </c>
      <c r="H6" s="94" t="s">
        <v>186</v>
      </c>
    </row>
    <row r="7" spans="1:10" x14ac:dyDescent="0.35">
      <c r="A7" s="94" t="s">
        <v>14</v>
      </c>
      <c r="B7" s="94" t="s">
        <v>160</v>
      </c>
      <c r="C7" s="94" t="s">
        <v>169</v>
      </c>
      <c r="D7" s="94" t="s">
        <v>174</v>
      </c>
      <c r="E7" s="97">
        <v>78421</v>
      </c>
      <c r="F7" s="96">
        <v>2</v>
      </c>
      <c r="G7" s="94" t="s">
        <v>181</v>
      </c>
      <c r="H7" s="94" t="s">
        <v>187</v>
      </c>
    </row>
    <row r="8" spans="1:10" x14ac:dyDescent="0.35">
      <c r="A8" s="94" t="s">
        <v>15</v>
      </c>
      <c r="B8" s="94" t="s">
        <v>163</v>
      </c>
      <c r="C8" s="94" t="s">
        <v>168</v>
      </c>
      <c r="D8" s="94"/>
      <c r="E8" s="97">
        <v>67721</v>
      </c>
      <c r="F8" s="96"/>
      <c r="G8" s="94" t="s">
        <v>180</v>
      </c>
      <c r="H8" s="94" t="s">
        <v>185</v>
      </c>
    </row>
    <row r="9" spans="1:10" x14ac:dyDescent="0.35">
      <c r="A9" s="94" t="s">
        <v>16</v>
      </c>
      <c r="B9" s="94" t="s">
        <v>164</v>
      </c>
      <c r="C9" s="94" t="s">
        <v>170</v>
      </c>
      <c r="D9" s="94"/>
      <c r="E9" s="97">
        <v>35364</v>
      </c>
      <c r="F9" s="96">
        <v>2</v>
      </c>
      <c r="G9" s="94" t="s">
        <v>179</v>
      </c>
      <c r="H9" s="94" t="s">
        <v>188</v>
      </c>
    </row>
    <row r="10" spans="1:10" x14ac:dyDescent="0.35">
      <c r="A10" s="94" t="s">
        <v>17</v>
      </c>
      <c r="B10" s="94" t="s">
        <v>160</v>
      </c>
      <c r="C10" s="94" t="s">
        <v>169</v>
      </c>
      <c r="D10" s="94" t="s">
        <v>172</v>
      </c>
      <c r="E10" s="97">
        <v>97881</v>
      </c>
      <c r="F10" s="96"/>
      <c r="G10" s="94" t="s">
        <v>181</v>
      </c>
      <c r="H10" s="94" t="s">
        <v>189</v>
      </c>
    </row>
    <row r="11" spans="1:10" x14ac:dyDescent="0.35">
      <c r="A11" s="94" t="s">
        <v>18</v>
      </c>
      <c r="B11" s="94" t="s">
        <v>164</v>
      </c>
      <c r="C11" s="94" t="s">
        <v>167</v>
      </c>
      <c r="D11" s="94" t="s">
        <v>175</v>
      </c>
      <c r="E11" s="97">
        <v>91846</v>
      </c>
      <c r="F11" s="96"/>
      <c r="G11" s="94" t="s">
        <v>180</v>
      </c>
      <c r="H11" s="94" t="s">
        <v>190</v>
      </c>
    </row>
    <row r="12" spans="1:10" x14ac:dyDescent="0.35">
      <c r="A12" s="94" t="s">
        <v>19</v>
      </c>
      <c r="B12" s="94" t="s">
        <v>163</v>
      </c>
      <c r="C12" s="94" t="s">
        <v>166</v>
      </c>
      <c r="D12" s="94" t="s">
        <v>175</v>
      </c>
      <c r="E12" s="97">
        <v>64247</v>
      </c>
      <c r="F12" s="96">
        <v>1</v>
      </c>
      <c r="G12" s="94" t="s">
        <v>181</v>
      </c>
      <c r="H12" s="94" t="s">
        <v>191</v>
      </c>
    </row>
    <row r="13" spans="1:10" x14ac:dyDescent="0.35">
      <c r="A13" s="94" t="s">
        <v>20</v>
      </c>
      <c r="B13" s="94" t="s">
        <v>163</v>
      </c>
      <c r="C13" s="94" t="s">
        <v>169</v>
      </c>
      <c r="D13" s="94" t="s">
        <v>173</v>
      </c>
      <c r="E13" s="97">
        <v>91180</v>
      </c>
      <c r="F13" s="96">
        <v>5</v>
      </c>
      <c r="G13" s="94" t="s">
        <v>180</v>
      </c>
      <c r="H13" s="94" t="s">
        <v>192</v>
      </c>
    </row>
    <row r="14" spans="1:10" x14ac:dyDescent="0.35">
      <c r="A14" s="94" t="s">
        <v>21</v>
      </c>
      <c r="B14" s="94" t="s">
        <v>165</v>
      </c>
      <c r="C14" s="94" t="s">
        <v>168</v>
      </c>
      <c r="D14" s="94"/>
      <c r="E14" s="97">
        <v>96418</v>
      </c>
      <c r="F14" s="96">
        <v>5</v>
      </c>
      <c r="G14" s="94" t="s">
        <v>180</v>
      </c>
      <c r="H14" s="94" t="s">
        <v>183</v>
      </c>
    </row>
    <row r="15" spans="1:10" x14ac:dyDescent="0.35">
      <c r="A15" s="94" t="s">
        <v>22</v>
      </c>
      <c r="B15" s="94" t="s">
        <v>163</v>
      </c>
      <c r="C15" s="94"/>
      <c r="D15" s="94" t="s">
        <v>174</v>
      </c>
      <c r="E15" s="97">
        <v>62158</v>
      </c>
      <c r="F15" s="96">
        <v>4</v>
      </c>
      <c r="G15" s="94"/>
      <c r="H15" s="94" t="s">
        <v>193</v>
      </c>
    </row>
    <row r="16" spans="1:10" x14ac:dyDescent="0.35">
      <c r="A16" s="94" t="s">
        <v>23</v>
      </c>
      <c r="B16" s="94" t="s">
        <v>162</v>
      </c>
      <c r="C16" s="94" t="s">
        <v>167</v>
      </c>
      <c r="D16" s="94"/>
      <c r="E16" s="97">
        <v>59894</v>
      </c>
      <c r="F16" s="96">
        <v>2</v>
      </c>
      <c r="G16" s="94" t="s">
        <v>180</v>
      </c>
      <c r="H16" s="94" t="s">
        <v>194</v>
      </c>
    </row>
    <row r="17" spans="1:8" x14ac:dyDescent="0.35">
      <c r="A17" s="94" t="s">
        <v>24</v>
      </c>
      <c r="B17" s="94"/>
      <c r="C17" s="94" t="s">
        <v>169</v>
      </c>
      <c r="D17" s="94" t="s">
        <v>174</v>
      </c>
      <c r="E17" s="97">
        <v>92443</v>
      </c>
      <c r="F17" s="96">
        <v>3</v>
      </c>
      <c r="G17" s="94" t="s">
        <v>179</v>
      </c>
      <c r="H17" s="94" t="s">
        <v>195</v>
      </c>
    </row>
    <row r="18" spans="1:8" x14ac:dyDescent="0.35">
      <c r="A18" s="94" t="s">
        <v>25</v>
      </c>
      <c r="B18" s="94" t="s">
        <v>165</v>
      </c>
      <c r="C18" s="94"/>
      <c r="D18" s="94" t="s">
        <v>172</v>
      </c>
      <c r="E18" s="97">
        <v>90271</v>
      </c>
      <c r="F18" s="96"/>
      <c r="G18" s="94"/>
      <c r="H18" s="94" t="s">
        <v>196</v>
      </c>
    </row>
    <row r="19" spans="1:8" x14ac:dyDescent="0.35">
      <c r="A19" s="94" t="s">
        <v>26</v>
      </c>
      <c r="B19" s="94" t="s">
        <v>162</v>
      </c>
      <c r="C19" s="94" t="s">
        <v>166</v>
      </c>
      <c r="D19" s="94" t="s">
        <v>176</v>
      </c>
      <c r="E19" s="97">
        <v>41341</v>
      </c>
      <c r="F19" s="96">
        <v>1</v>
      </c>
      <c r="G19" s="94" t="s">
        <v>179</v>
      </c>
      <c r="H19" s="94" t="s">
        <v>197</v>
      </c>
    </row>
    <row r="20" spans="1:8" x14ac:dyDescent="0.35">
      <c r="A20" s="94" t="s">
        <v>27</v>
      </c>
      <c r="B20" s="94" t="s">
        <v>160</v>
      </c>
      <c r="C20" s="94" t="s">
        <v>166</v>
      </c>
      <c r="D20" s="94" t="s">
        <v>175</v>
      </c>
      <c r="E20" s="97">
        <v>73602</v>
      </c>
      <c r="F20" s="96"/>
      <c r="G20" s="94"/>
      <c r="H20" s="94" t="s">
        <v>198</v>
      </c>
    </row>
    <row r="21" spans="1:8" x14ac:dyDescent="0.35">
      <c r="A21" s="94" t="s">
        <v>28</v>
      </c>
      <c r="B21" s="94" t="s">
        <v>159</v>
      </c>
      <c r="C21" s="94"/>
      <c r="D21" s="94" t="s">
        <v>174</v>
      </c>
      <c r="E21" s="97">
        <v>67531</v>
      </c>
      <c r="F21" s="96">
        <v>5</v>
      </c>
      <c r="G21" s="94" t="s">
        <v>181</v>
      </c>
      <c r="H21" s="94" t="s">
        <v>199</v>
      </c>
    </row>
    <row r="22" spans="1:8" x14ac:dyDescent="0.35">
      <c r="A22" s="94" t="s">
        <v>29</v>
      </c>
      <c r="B22" s="94" t="s">
        <v>162</v>
      </c>
      <c r="C22" s="94" t="s">
        <v>167</v>
      </c>
      <c r="D22" s="94" t="s">
        <v>173</v>
      </c>
      <c r="E22" s="98" t="s">
        <v>177</v>
      </c>
      <c r="F22" s="96">
        <v>2</v>
      </c>
      <c r="G22" s="94" t="s">
        <v>179</v>
      </c>
      <c r="H22" s="94" t="s">
        <v>200</v>
      </c>
    </row>
    <row r="23" spans="1:8" x14ac:dyDescent="0.35">
      <c r="A23" s="94" t="s">
        <v>30</v>
      </c>
      <c r="B23" s="94" t="s">
        <v>162</v>
      </c>
      <c r="C23" s="94" t="s">
        <v>167</v>
      </c>
      <c r="D23" s="94"/>
      <c r="E23" s="97">
        <v>98922</v>
      </c>
      <c r="F23" s="96">
        <v>4</v>
      </c>
      <c r="G23" s="94"/>
      <c r="H23" s="94" t="s">
        <v>201</v>
      </c>
    </row>
    <row r="24" spans="1:8" x14ac:dyDescent="0.35">
      <c r="A24" s="94" t="s">
        <v>31</v>
      </c>
      <c r="B24" s="94" t="s">
        <v>159</v>
      </c>
      <c r="C24" s="94" t="s">
        <v>166</v>
      </c>
      <c r="D24" s="94" t="s">
        <v>174</v>
      </c>
      <c r="E24" s="97">
        <v>38333</v>
      </c>
      <c r="F24" s="96">
        <v>5</v>
      </c>
      <c r="G24" s="94"/>
      <c r="H24" s="94" t="s">
        <v>202</v>
      </c>
    </row>
    <row r="25" spans="1:8" x14ac:dyDescent="0.35">
      <c r="A25" s="94" t="s">
        <v>32</v>
      </c>
      <c r="B25" s="94" t="s">
        <v>160</v>
      </c>
      <c r="C25" s="94" t="s">
        <v>170</v>
      </c>
      <c r="D25" s="94" t="s">
        <v>175</v>
      </c>
      <c r="E25" s="97">
        <v>36515</v>
      </c>
      <c r="F25" s="96">
        <v>3</v>
      </c>
      <c r="G25" s="94" t="s">
        <v>180</v>
      </c>
      <c r="H25" s="94" t="s">
        <v>203</v>
      </c>
    </row>
    <row r="26" spans="1:8" x14ac:dyDescent="0.35">
      <c r="A26" s="94" t="s">
        <v>33</v>
      </c>
      <c r="B26" s="94" t="s">
        <v>163</v>
      </c>
      <c r="C26" s="94" t="s">
        <v>166</v>
      </c>
      <c r="D26" s="94"/>
      <c r="E26" s="97">
        <v>91005</v>
      </c>
      <c r="F26" s="96">
        <v>1</v>
      </c>
      <c r="G26" s="94" t="s">
        <v>179</v>
      </c>
      <c r="H26" s="94" t="s">
        <v>204</v>
      </c>
    </row>
    <row r="27" spans="1:8" x14ac:dyDescent="0.35">
      <c r="A27" s="94" t="s">
        <v>34</v>
      </c>
      <c r="B27" s="94" t="s">
        <v>164</v>
      </c>
      <c r="C27" s="94"/>
      <c r="D27" s="94" t="s">
        <v>171</v>
      </c>
      <c r="E27" s="97">
        <v>52272</v>
      </c>
      <c r="F27" s="96">
        <v>3</v>
      </c>
      <c r="G27" s="94"/>
      <c r="H27" s="94" t="s">
        <v>205</v>
      </c>
    </row>
    <row r="28" spans="1:8" x14ac:dyDescent="0.35">
      <c r="A28" s="94" t="s">
        <v>35</v>
      </c>
      <c r="B28" s="94" t="s">
        <v>159</v>
      </c>
      <c r="C28" s="94" t="s">
        <v>168</v>
      </c>
      <c r="D28" s="94" t="s">
        <v>172</v>
      </c>
      <c r="E28" s="97">
        <v>76518</v>
      </c>
      <c r="F28" s="96">
        <v>2</v>
      </c>
      <c r="G28" s="94" t="s">
        <v>181</v>
      </c>
      <c r="H28" s="94" t="s">
        <v>206</v>
      </c>
    </row>
    <row r="29" spans="1:8" x14ac:dyDescent="0.35">
      <c r="A29" s="94" t="s">
        <v>36</v>
      </c>
      <c r="B29" s="94" t="s">
        <v>160</v>
      </c>
      <c r="C29" s="94" t="s">
        <v>169</v>
      </c>
      <c r="D29" s="94" t="s">
        <v>175</v>
      </c>
      <c r="E29" s="97">
        <v>41448</v>
      </c>
      <c r="F29" s="96">
        <v>3</v>
      </c>
      <c r="G29" s="94" t="s">
        <v>179</v>
      </c>
      <c r="H29" s="94" t="s">
        <v>207</v>
      </c>
    </row>
    <row r="30" spans="1:8" x14ac:dyDescent="0.35">
      <c r="A30" s="94" t="s">
        <v>37</v>
      </c>
      <c r="B30" s="94" t="s">
        <v>161</v>
      </c>
      <c r="C30" s="94" t="s">
        <v>167</v>
      </c>
      <c r="D30" s="94" t="s">
        <v>175</v>
      </c>
      <c r="E30" s="97">
        <v>49282</v>
      </c>
      <c r="F30" s="96">
        <v>2</v>
      </c>
      <c r="G30" s="94" t="s">
        <v>181</v>
      </c>
      <c r="H30" s="94" t="s">
        <v>208</v>
      </c>
    </row>
    <row r="31" spans="1:8" x14ac:dyDescent="0.35">
      <c r="A31" s="94" t="s">
        <v>38</v>
      </c>
      <c r="B31" s="94" t="s">
        <v>165</v>
      </c>
      <c r="C31" s="94" t="s">
        <v>170</v>
      </c>
      <c r="D31" s="94" t="s">
        <v>175</v>
      </c>
      <c r="E31" s="97">
        <v>92959</v>
      </c>
      <c r="F31" s="96">
        <v>5</v>
      </c>
      <c r="G31" s="94"/>
      <c r="H31" s="94" t="s">
        <v>209</v>
      </c>
    </row>
    <row r="32" spans="1:8" x14ac:dyDescent="0.35">
      <c r="A32" s="94" t="s">
        <v>39</v>
      </c>
      <c r="B32" s="94"/>
      <c r="C32" s="94" t="s">
        <v>170</v>
      </c>
      <c r="D32" s="94"/>
      <c r="E32" s="97">
        <v>92259</v>
      </c>
      <c r="F32" s="96">
        <v>1</v>
      </c>
      <c r="G32" s="94" t="s">
        <v>178</v>
      </c>
      <c r="H32" s="94" t="s">
        <v>210</v>
      </c>
    </row>
    <row r="33" spans="1:8" x14ac:dyDescent="0.35">
      <c r="A33" s="94" t="s">
        <v>40</v>
      </c>
      <c r="B33" s="94" t="s">
        <v>159</v>
      </c>
      <c r="C33" s="94" t="s">
        <v>167</v>
      </c>
      <c r="D33" s="94" t="s">
        <v>172</v>
      </c>
      <c r="E33" s="97">
        <v>92299</v>
      </c>
      <c r="F33" s="96">
        <v>3</v>
      </c>
      <c r="G33" s="94" t="s">
        <v>180</v>
      </c>
      <c r="H33" s="94" t="s">
        <v>211</v>
      </c>
    </row>
    <row r="34" spans="1:8" x14ac:dyDescent="0.35">
      <c r="A34" s="94" t="s">
        <v>41</v>
      </c>
      <c r="B34" s="94" t="s">
        <v>163</v>
      </c>
      <c r="C34" s="94" t="s">
        <v>167</v>
      </c>
      <c r="D34" s="94"/>
      <c r="E34" s="97">
        <v>95586</v>
      </c>
      <c r="F34" s="96">
        <v>3</v>
      </c>
      <c r="G34" s="94" t="s">
        <v>179</v>
      </c>
      <c r="H34" s="94" t="s">
        <v>212</v>
      </c>
    </row>
    <row r="35" spans="1:8" x14ac:dyDescent="0.35">
      <c r="A35" s="94" t="s">
        <v>42</v>
      </c>
      <c r="B35" s="94" t="s">
        <v>164</v>
      </c>
      <c r="C35" s="94"/>
      <c r="D35" s="94" t="s">
        <v>173</v>
      </c>
      <c r="E35" s="97">
        <v>95367</v>
      </c>
      <c r="F35" s="96"/>
      <c r="G35" s="94" t="s">
        <v>180</v>
      </c>
      <c r="H35" s="94" t="s">
        <v>213</v>
      </c>
    </row>
    <row r="36" spans="1:8" x14ac:dyDescent="0.35">
      <c r="A36" s="94" t="s">
        <v>43</v>
      </c>
      <c r="B36" s="94" t="s">
        <v>161</v>
      </c>
      <c r="C36" s="94" t="s">
        <v>168</v>
      </c>
      <c r="D36" s="94" t="s">
        <v>176</v>
      </c>
      <c r="E36" s="97">
        <v>79549</v>
      </c>
      <c r="F36" s="96">
        <v>3</v>
      </c>
      <c r="G36" s="94"/>
      <c r="H36" s="94" t="s">
        <v>214</v>
      </c>
    </row>
    <row r="37" spans="1:8" x14ac:dyDescent="0.35">
      <c r="A37" s="94" t="s">
        <v>44</v>
      </c>
      <c r="B37" s="94" t="s">
        <v>160</v>
      </c>
      <c r="C37" s="94"/>
      <c r="D37" s="94" t="s">
        <v>175</v>
      </c>
      <c r="E37" s="97">
        <v>54463</v>
      </c>
      <c r="F37" s="96">
        <v>4</v>
      </c>
      <c r="G37" s="94" t="s">
        <v>180</v>
      </c>
      <c r="H37" s="94" t="s">
        <v>182</v>
      </c>
    </row>
    <row r="38" spans="1:8" x14ac:dyDescent="0.35">
      <c r="A38" s="94" t="s">
        <v>45</v>
      </c>
      <c r="B38" s="94" t="s">
        <v>160</v>
      </c>
      <c r="C38" s="94" t="s">
        <v>169</v>
      </c>
      <c r="D38" s="94" t="s">
        <v>173</v>
      </c>
      <c r="E38" s="97">
        <v>89781</v>
      </c>
      <c r="F38" s="96"/>
      <c r="G38" s="94" t="s">
        <v>181</v>
      </c>
      <c r="H38" s="94" t="s">
        <v>215</v>
      </c>
    </row>
    <row r="39" spans="1:8" x14ac:dyDescent="0.35">
      <c r="A39" s="94" t="s">
        <v>46</v>
      </c>
      <c r="B39" s="94" t="s">
        <v>160</v>
      </c>
      <c r="C39" s="94" t="s">
        <v>167</v>
      </c>
      <c r="D39" s="94"/>
      <c r="E39" s="97">
        <v>64796</v>
      </c>
      <c r="F39" s="96"/>
      <c r="G39" s="94" t="s">
        <v>179</v>
      </c>
      <c r="H39" s="94" t="s">
        <v>216</v>
      </c>
    </row>
    <row r="40" spans="1:8" x14ac:dyDescent="0.35">
      <c r="A40" s="94" t="s">
        <v>47</v>
      </c>
      <c r="B40" s="94" t="s">
        <v>161</v>
      </c>
      <c r="C40" s="94" t="s">
        <v>170</v>
      </c>
      <c r="D40" s="94" t="s">
        <v>175</v>
      </c>
      <c r="E40" s="97">
        <v>52093</v>
      </c>
      <c r="F40" s="96">
        <v>5</v>
      </c>
      <c r="G40" s="94"/>
      <c r="H40" s="94" t="s">
        <v>217</v>
      </c>
    </row>
    <row r="41" spans="1:8" x14ac:dyDescent="0.35">
      <c r="A41" s="94" t="s">
        <v>48</v>
      </c>
      <c r="B41" s="94" t="s">
        <v>164</v>
      </c>
      <c r="C41" s="94" t="s">
        <v>167</v>
      </c>
      <c r="D41" s="94" t="s">
        <v>175</v>
      </c>
      <c r="E41" s="97">
        <v>48224</v>
      </c>
      <c r="F41" s="96">
        <v>3</v>
      </c>
      <c r="G41" s="94"/>
      <c r="H41" s="94" t="s">
        <v>218</v>
      </c>
    </row>
    <row r="42" spans="1:8" x14ac:dyDescent="0.35">
      <c r="A42" s="94" t="s">
        <v>49</v>
      </c>
      <c r="B42" s="94" t="s">
        <v>165</v>
      </c>
      <c r="C42" s="94" t="s">
        <v>166</v>
      </c>
      <c r="D42" s="94" t="s">
        <v>175</v>
      </c>
      <c r="E42" s="98" t="s">
        <v>177</v>
      </c>
      <c r="F42" s="96">
        <v>4</v>
      </c>
      <c r="G42" s="94" t="s">
        <v>181</v>
      </c>
      <c r="H42" s="94" t="s">
        <v>219</v>
      </c>
    </row>
    <row r="43" spans="1:8" x14ac:dyDescent="0.35">
      <c r="A43" s="94" t="s">
        <v>50</v>
      </c>
      <c r="B43" s="94" t="s">
        <v>160</v>
      </c>
      <c r="C43" s="94" t="s">
        <v>169</v>
      </c>
      <c r="D43" s="94" t="s">
        <v>172</v>
      </c>
      <c r="E43" s="97">
        <v>33956</v>
      </c>
      <c r="F43" s="96"/>
      <c r="G43" s="94"/>
      <c r="H43" s="94" t="s">
        <v>220</v>
      </c>
    </row>
    <row r="44" spans="1:8" x14ac:dyDescent="0.35">
      <c r="A44" s="94" t="s">
        <v>51</v>
      </c>
      <c r="B44" s="94" t="s">
        <v>165</v>
      </c>
      <c r="C44" s="94"/>
      <c r="D44" s="94" t="s">
        <v>176</v>
      </c>
      <c r="E44" s="97">
        <v>64913</v>
      </c>
      <c r="F44" s="96">
        <v>1</v>
      </c>
      <c r="G44" s="94" t="s">
        <v>181</v>
      </c>
      <c r="H44" s="94" t="s">
        <v>221</v>
      </c>
    </row>
    <row r="45" spans="1:8" x14ac:dyDescent="0.35">
      <c r="A45" s="94" t="s">
        <v>52</v>
      </c>
      <c r="B45" s="94" t="s">
        <v>160</v>
      </c>
      <c r="C45" s="94" t="s">
        <v>170</v>
      </c>
      <c r="D45" s="94" t="s">
        <v>176</v>
      </c>
      <c r="E45" s="97">
        <v>35326</v>
      </c>
      <c r="F45" s="96"/>
      <c r="G45" s="94" t="s">
        <v>181</v>
      </c>
      <c r="H45" s="94" t="s">
        <v>222</v>
      </c>
    </row>
    <row r="46" spans="1:8" x14ac:dyDescent="0.35">
      <c r="A46" s="94" t="s">
        <v>53</v>
      </c>
      <c r="B46" s="94" t="s">
        <v>164</v>
      </c>
      <c r="C46" s="94" t="s">
        <v>166</v>
      </c>
      <c r="D46" s="94"/>
      <c r="E46" s="97">
        <v>81610</v>
      </c>
      <c r="F46" s="96">
        <v>1</v>
      </c>
      <c r="G46" s="94"/>
      <c r="H46" s="94" t="s">
        <v>223</v>
      </c>
    </row>
    <row r="47" spans="1:8" x14ac:dyDescent="0.35">
      <c r="A47" s="94" t="s">
        <v>54</v>
      </c>
      <c r="B47" s="94"/>
      <c r="C47" s="94" t="s">
        <v>167</v>
      </c>
      <c r="D47" s="94"/>
      <c r="E47" s="97">
        <v>58962</v>
      </c>
      <c r="F47" s="96">
        <v>3</v>
      </c>
      <c r="G47" s="94" t="s">
        <v>179</v>
      </c>
      <c r="H47" s="94" t="s">
        <v>183</v>
      </c>
    </row>
    <row r="48" spans="1:8" x14ac:dyDescent="0.35">
      <c r="A48" s="94" t="s">
        <v>55</v>
      </c>
      <c r="B48" s="94" t="s">
        <v>164</v>
      </c>
      <c r="C48" s="94" t="s">
        <v>169</v>
      </c>
      <c r="D48" s="94" t="s">
        <v>172</v>
      </c>
      <c r="E48" s="97">
        <v>92701</v>
      </c>
      <c r="F48" s="96">
        <v>3</v>
      </c>
      <c r="G48" s="94" t="s">
        <v>179</v>
      </c>
      <c r="H48" s="94" t="s">
        <v>224</v>
      </c>
    </row>
    <row r="49" spans="1:8" x14ac:dyDescent="0.35">
      <c r="A49" s="94" t="s">
        <v>56</v>
      </c>
      <c r="B49" s="94" t="s">
        <v>164</v>
      </c>
      <c r="C49" s="94" t="s">
        <v>167</v>
      </c>
      <c r="D49" s="94" t="s">
        <v>174</v>
      </c>
      <c r="E49" s="97">
        <v>58245</v>
      </c>
      <c r="F49" s="96">
        <v>4</v>
      </c>
      <c r="G49" s="94"/>
      <c r="H49" s="94" t="s">
        <v>225</v>
      </c>
    </row>
    <row r="50" spans="1:8" x14ac:dyDescent="0.35">
      <c r="A50" s="94" t="s">
        <v>57</v>
      </c>
      <c r="B50" s="94" t="s">
        <v>161</v>
      </c>
      <c r="C50" s="94" t="s">
        <v>166</v>
      </c>
      <c r="D50" s="94"/>
      <c r="E50" s="97">
        <v>66513</v>
      </c>
      <c r="F50" s="96">
        <v>2</v>
      </c>
      <c r="G50" s="94" t="s">
        <v>179</v>
      </c>
      <c r="H50" s="94" t="s">
        <v>187</v>
      </c>
    </row>
    <row r="51" spans="1:8" x14ac:dyDescent="0.35">
      <c r="A51" s="94" t="s">
        <v>58</v>
      </c>
      <c r="B51" s="94" t="s">
        <v>159</v>
      </c>
      <c r="C51" s="94" t="s">
        <v>167</v>
      </c>
      <c r="D51" s="94" t="s">
        <v>172</v>
      </c>
      <c r="E51" s="97">
        <v>78720</v>
      </c>
      <c r="F51" s="96">
        <v>5</v>
      </c>
      <c r="G51" s="94" t="s">
        <v>181</v>
      </c>
      <c r="H51" s="94" t="s">
        <v>219</v>
      </c>
    </row>
    <row r="52" spans="1:8" x14ac:dyDescent="0.35">
      <c r="A52" s="94" t="s">
        <v>59</v>
      </c>
      <c r="B52" s="94" t="s">
        <v>164</v>
      </c>
      <c r="C52" s="94"/>
      <c r="D52" s="94" t="s">
        <v>171</v>
      </c>
      <c r="E52" s="97">
        <v>30686</v>
      </c>
      <c r="F52" s="96">
        <v>2</v>
      </c>
      <c r="G52" s="94" t="s">
        <v>181</v>
      </c>
      <c r="H52" s="94" t="s">
        <v>226</v>
      </c>
    </row>
    <row r="53" spans="1:8" x14ac:dyDescent="0.35">
      <c r="A53" s="94" t="s">
        <v>60</v>
      </c>
      <c r="B53" s="94" t="s">
        <v>163</v>
      </c>
      <c r="C53" s="94" t="s">
        <v>168</v>
      </c>
      <c r="D53" s="94" t="s">
        <v>174</v>
      </c>
      <c r="E53" s="97">
        <v>39423</v>
      </c>
      <c r="F53" s="96">
        <v>5</v>
      </c>
      <c r="G53" s="94"/>
      <c r="H53" s="94" t="s">
        <v>227</v>
      </c>
    </row>
    <row r="54" spans="1:8" x14ac:dyDescent="0.35">
      <c r="A54" s="94" t="s">
        <v>61</v>
      </c>
      <c r="B54" s="94" t="s">
        <v>159</v>
      </c>
      <c r="C54" s="94" t="s">
        <v>170</v>
      </c>
      <c r="D54" s="94"/>
      <c r="E54" s="97">
        <v>30280</v>
      </c>
      <c r="F54" s="96">
        <v>1</v>
      </c>
      <c r="G54" s="94"/>
      <c r="H54" s="94" t="s">
        <v>228</v>
      </c>
    </row>
    <row r="55" spans="1:8" x14ac:dyDescent="0.35">
      <c r="A55" s="94" t="s">
        <v>62</v>
      </c>
      <c r="B55" s="94" t="s">
        <v>159</v>
      </c>
      <c r="C55" s="94" t="s">
        <v>166</v>
      </c>
      <c r="D55" s="94" t="s">
        <v>175</v>
      </c>
      <c r="E55" s="97">
        <v>33352</v>
      </c>
      <c r="F55" s="96">
        <v>3</v>
      </c>
      <c r="G55" s="94" t="s">
        <v>181</v>
      </c>
      <c r="H55" s="94" t="s">
        <v>200</v>
      </c>
    </row>
    <row r="56" spans="1:8" x14ac:dyDescent="0.35">
      <c r="A56" s="94" t="s">
        <v>63</v>
      </c>
      <c r="B56" s="94" t="s">
        <v>165</v>
      </c>
      <c r="C56" s="94" t="s">
        <v>170</v>
      </c>
      <c r="D56" s="94" t="s">
        <v>175</v>
      </c>
      <c r="E56" s="97">
        <v>75633</v>
      </c>
      <c r="F56" s="96">
        <v>5</v>
      </c>
      <c r="G56" s="94" t="s">
        <v>179</v>
      </c>
      <c r="H56" s="94" t="s">
        <v>229</v>
      </c>
    </row>
    <row r="57" spans="1:8" x14ac:dyDescent="0.35">
      <c r="A57" s="94" t="s">
        <v>64</v>
      </c>
      <c r="B57" s="94" t="s">
        <v>164</v>
      </c>
      <c r="C57" s="94"/>
      <c r="D57" s="94" t="s">
        <v>173</v>
      </c>
      <c r="E57" s="97">
        <v>74815</v>
      </c>
      <c r="F57" s="96">
        <v>5</v>
      </c>
      <c r="G57" s="94" t="s">
        <v>181</v>
      </c>
      <c r="H57" s="94" t="s">
        <v>230</v>
      </c>
    </row>
    <row r="58" spans="1:8" x14ac:dyDescent="0.35">
      <c r="A58" s="94" t="s">
        <v>65</v>
      </c>
      <c r="B58" s="94" t="s">
        <v>161</v>
      </c>
      <c r="C58" s="94" t="s">
        <v>168</v>
      </c>
      <c r="D58" s="94" t="s">
        <v>176</v>
      </c>
      <c r="E58" s="97">
        <v>60011</v>
      </c>
      <c r="F58" s="96">
        <v>1</v>
      </c>
      <c r="G58" s="94" t="s">
        <v>180</v>
      </c>
      <c r="H58" s="94" t="s">
        <v>231</v>
      </c>
    </row>
    <row r="59" spans="1:8" x14ac:dyDescent="0.35">
      <c r="A59" s="94" t="s">
        <v>66</v>
      </c>
      <c r="B59" s="94" t="s">
        <v>159</v>
      </c>
      <c r="C59" s="94"/>
      <c r="D59" s="94" t="s">
        <v>174</v>
      </c>
      <c r="E59" s="97">
        <v>96949</v>
      </c>
      <c r="F59" s="96">
        <v>3</v>
      </c>
      <c r="G59" s="94"/>
      <c r="H59" s="94" t="s">
        <v>207</v>
      </c>
    </row>
    <row r="60" spans="1:8" x14ac:dyDescent="0.35">
      <c r="A60" s="94" t="s">
        <v>67</v>
      </c>
      <c r="B60" s="94" t="s">
        <v>163</v>
      </c>
      <c r="C60" s="94" t="s">
        <v>170</v>
      </c>
      <c r="D60" s="94"/>
      <c r="E60" s="97">
        <v>84924</v>
      </c>
      <c r="F60" s="96">
        <v>5</v>
      </c>
      <c r="G60" s="94" t="s">
        <v>180</v>
      </c>
      <c r="H60" s="94" t="s">
        <v>232</v>
      </c>
    </row>
    <row r="61" spans="1:8" x14ac:dyDescent="0.35">
      <c r="A61" s="94" t="s">
        <v>68</v>
      </c>
      <c r="B61" s="94" t="s">
        <v>163</v>
      </c>
      <c r="C61" s="94" t="s">
        <v>166</v>
      </c>
      <c r="D61" s="94" t="s">
        <v>173</v>
      </c>
      <c r="E61" s="97">
        <v>82033</v>
      </c>
      <c r="F61" s="96">
        <v>1</v>
      </c>
      <c r="G61" s="94"/>
      <c r="H61" s="94" t="s">
        <v>223</v>
      </c>
    </row>
    <row r="62" spans="1:8" x14ac:dyDescent="0.35">
      <c r="A62" s="94" t="s">
        <v>69</v>
      </c>
      <c r="B62" s="94"/>
      <c r="C62" s="94" t="s">
        <v>170</v>
      </c>
      <c r="D62" s="94" t="s">
        <v>172</v>
      </c>
      <c r="E62" s="98" t="s">
        <v>177</v>
      </c>
      <c r="F62" s="96">
        <v>5</v>
      </c>
      <c r="G62" s="94" t="s">
        <v>178</v>
      </c>
      <c r="H62" s="94" t="s">
        <v>233</v>
      </c>
    </row>
    <row r="63" spans="1:8" x14ac:dyDescent="0.35">
      <c r="A63" s="94" t="s">
        <v>70</v>
      </c>
      <c r="B63" s="94" t="s">
        <v>159</v>
      </c>
      <c r="C63" s="94"/>
      <c r="D63" s="94" t="s">
        <v>176</v>
      </c>
      <c r="E63" s="97">
        <v>31499</v>
      </c>
      <c r="F63" s="96">
        <v>2</v>
      </c>
      <c r="G63" s="94"/>
      <c r="H63" s="94" t="s">
        <v>215</v>
      </c>
    </row>
    <row r="64" spans="1:8" x14ac:dyDescent="0.35">
      <c r="A64" s="94" t="s">
        <v>71</v>
      </c>
      <c r="B64" s="94" t="s">
        <v>164</v>
      </c>
      <c r="C64" s="94" t="s">
        <v>169</v>
      </c>
      <c r="D64" s="94" t="s">
        <v>175</v>
      </c>
      <c r="E64" s="97">
        <v>97981</v>
      </c>
      <c r="F64" s="96">
        <v>5</v>
      </c>
      <c r="G64" s="94" t="s">
        <v>181</v>
      </c>
      <c r="H64" s="94" t="s">
        <v>234</v>
      </c>
    </row>
    <row r="65" spans="1:8" x14ac:dyDescent="0.35">
      <c r="A65" s="94" t="s">
        <v>72</v>
      </c>
      <c r="B65" s="94" t="s">
        <v>159</v>
      </c>
      <c r="C65" s="94" t="s">
        <v>167</v>
      </c>
      <c r="D65" s="94" t="s">
        <v>173</v>
      </c>
      <c r="E65" s="97">
        <v>36541</v>
      </c>
      <c r="F65" s="96">
        <v>2</v>
      </c>
      <c r="G65" s="94" t="s">
        <v>179</v>
      </c>
      <c r="H65" s="94" t="s">
        <v>235</v>
      </c>
    </row>
    <row r="66" spans="1:8" x14ac:dyDescent="0.35">
      <c r="A66" s="94" t="s">
        <v>73</v>
      </c>
      <c r="B66" s="94" t="s">
        <v>161</v>
      </c>
      <c r="C66" s="94" t="s">
        <v>169</v>
      </c>
      <c r="D66" s="94" t="s">
        <v>174</v>
      </c>
      <c r="E66" s="97">
        <v>84737</v>
      </c>
      <c r="F66" s="96">
        <v>1</v>
      </c>
      <c r="G66" s="94" t="s">
        <v>180</v>
      </c>
      <c r="H66" s="94" t="s">
        <v>236</v>
      </c>
    </row>
    <row r="67" spans="1:8" x14ac:dyDescent="0.35">
      <c r="A67" s="94" t="s">
        <v>74</v>
      </c>
      <c r="B67" s="94" t="s">
        <v>163</v>
      </c>
      <c r="C67" s="94" t="s">
        <v>166</v>
      </c>
      <c r="D67" s="94" t="s">
        <v>174</v>
      </c>
      <c r="E67" s="97">
        <v>33468</v>
      </c>
      <c r="F67" s="96">
        <v>4</v>
      </c>
      <c r="G67" s="94" t="s">
        <v>180</v>
      </c>
      <c r="H67" s="94" t="s">
        <v>237</v>
      </c>
    </row>
    <row r="68" spans="1:8" x14ac:dyDescent="0.35">
      <c r="A68" s="94" t="s">
        <v>75</v>
      </c>
      <c r="B68" s="94" t="s">
        <v>163</v>
      </c>
      <c r="C68" s="94"/>
      <c r="D68" s="94" t="s">
        <v>176</v>
      </c>
      <c r="E68" s="97">
        <v>96365</v>
      </c>
      <c r="F68" s="96">
        <v>3</v>
      </c>
      <c r="G68" s="94" t="s">
        <v>179</v>
      </c>
      <c r="H68" s="94" t="s">
        <v>238</v>
      </c>
    </row>
    <row r="69" spans="1:8" x14ac:dyDescent="0.35">
      <c r="A69" s="94" t="s">
        <v>76</v>
      </c>
      <c r="B69" s="94" t="s">
        <v>160</v>
      </c>
      <c r="C69" s="94" t="s">
        <v>168</v>
      </c>
      <c r="D69" s="94" t="s">
        <v>174</v>
      </c>
      <c r="E69" s="97">
        <v>61942</v>
      </c>
      <c r="F69" s="96">
        <v>3</v>
      </c>
      <c r="G69" s="94" t="s">
        <v>181</v>
      </c>
      <c r="H69" s="94" t="s">
        <v>239</v>
      </c>
    </row>
    <row r="70" spans="1:8" x14ac:dyDescent="0.35">
      <c r="A70" s="94" t="s">
        <v>77</v>
      </c>
      <c r="B70" s="94" t="s">
        <v>163</v>
      </c>
      <c r="C70" s="94" t="s">
        <v>166</v>
      </c>
      <c r="D70" s="94" t="s">
        <v>175</v>
      </c>
      <c r="E70" s="97">
        <v>41467</v>
      </c>
      <c r="F70" s="96">
        <v>2</v>
      </c>
      <c r="G70" s="94"/>
      <c r="H70" s="94" t="s">
        <v>201</v>
      </c>
    </row>
    <row r="71" spans="1:8" x14ac:dyDescent="0.35">
      <c r="A71" s="94" t="s">
        <v>78</v>
      </c>
      <c r="B71" s="94" t="s">
        <v>165</v>
      </c>
      <c r="C71" s="94" t="s">
        <v>166</v>
      </c>
      <c r="D71" s="94" t="s">
        <v>174</v>
      </c>
      <c r="E71" s="97">
        <v>77096</v>
      </c>
      <c r="F71" s="96">
        <v>1</v>
      </c>
      <c r="G71" s="94"/>
      <c r="H71" s="94" t="s">
        <v>240</v>
      </c>
    </row>
    <row r="72" spans="1:8" x14ac:dyDescent="0.35">
      <c r="A72" s="94" t="s">
        <v>79</v>
      </c>
      <c r="B72" s="94" t="s">
        <v>159</v>
      </c>
      <c r="C72" s="94" t="s">
        <v>168</v>
      </c>
      <c r="D72" s="94" t="s">
        <v>176</v>
      </c>
      <c r="E72" s="97">
        <v>69952</v>
      </c>
      <c r="F72" s="96">
        <v>5</v>
      </c>
      <c r="G72" s="94" t="s">
        <v>181</v>
      </c>
      <c r="H72" s="94" t="s">
        <v>182</v>
      </c>
    </row>
    <row r="73" spans="1:8" x14ac:dyDescent="0.35">
      <c r="A73" s="94" t="s">
        <v>80</v>
      </c>
      <c r="B73" s="94" t="s">
        <v>159</v>
      </c>
      <c r="C73" s="94" t="s">
        <v>170</v>
      </c>
      <c r="D73" s="94" t="s">
        <v>173</v>
      </c>
      <c r="E73" s="97">
        <v>85065</v>
      </c>
      <c r="F73" s="96">
        <v>3</v>
      </c>
      <c r="G73" s="94"/>
      <c r="H73" s="94" t="s">
        <v>241</v>
      </c>
    </row>
    <row r="74" spans="1:8" x14ac:dyDescent="0.35">
      <c r="A74" s="94" t="s">
        <v>81</v>
      </c>
      <c r="B74" s="94" t="s">
        <v>165</v>
      </c>
      <c r="C74" s="94" t="s">
        <v>170</v>
      </c>
      <c r="D74" s="94" t="s">
        <v>174</v>
      </c>
      <c r="E74" s="97">
        <v>56512</v>
      </c>
      <c r="F74" s="96"/>
      <c r="G74" s="94" t="s">
        <v>179</v>
      </c>
      <c r="H74" s="94" t="s">
        <v>190</v>
      </c>
    </row>
    <row r="75" spans="1:8" x14ac:dyDescent="0.35">
      <c r="A75" s="94" t="s">
        <v>82</v>
      </c>
      <c r="B75" s="94" t="s">
        <v>161</v>
      </c>
      <c r="C75" s="94" t="s">
        <v>168</v>
      </c>
      <c r="D75" s="94" t="s">
        <v>174</v>
      </c>
      <c r="E75" s="97">
        <v>91101</v>
      </c>
      <c r="F75" s="96">
        <v>4</v>
      </c>
      <c r="G75" s="94" t="s">
        <v>181</v>
      </c>
      <c r="H75" s="94" t="s">
        <v>234</v>
      </c>
    </row>
    <row r="76" spans="1:8" x14ac:dyDescent="0.35">
      <c r="A76" s="94" t="s">
        <v>83</v>
      </c>
      <c r="B76" s="94" t="s">
        <v>163</v>
      </c>
      <c r="C76" s="94"/>
      <c r="D76" s="94" t="s">
        <v>172</v>
      </c>
      <c r="E76" s="97">
        <v>41243</v>
      </c>
      <c r="F76" s="96"/>
      <c r="G76" s="94"/>
      <c r="H76" s="94" t="s">
        <v>211</v>
      </c>
    </row>
    <row r="77" spans="1:8" x14ac:dyDescent="0.35">
      <c r="A77" s="94" t="s">
        <v>84</v>
      </c>
      <c r="B77" s="94"/>
      <c r="C77" s="94" t="s">
        <v>168</v>
      </c>
      <c r="D77" s="94" t="s">
        <v>171</v>
      </c>
      <c r="E77" s="97">
        <v>96142</v>
      </c>
      <c r="F77" s="96">
        <v>1</v>
      </c>
      <c r="G77" s="94" t="s">
        <v>179</v>
      </c>
      <c r="H77" s="94" t="s">
        <v>242</v>
      </c>
    </row>
    <row r="78" spans="1:8" x14ac:dyDescent="0.35">
      <c r="A78" s="94" t="s">
        <v>85</v>
      </c>
      <c r="B78" s="94" t="s">
        <v>159</v>
      </c>
      <c r="C78" s="94" t="s">
        <v>169</v>
      </c>
      <c r="D78" s="94" t="s">
        <v>174</v>
      </c>
      <c r="E78" s="97">
        <v>94301</v>
      </c>
      <c r="F78" s="96">
        <v>1</v>
      </c>
      <c r="G78" s="94" t="s">
        <v>180</v>
      </c>
      <c r="H78" s="94" t="s">
        <v>223</v>
      </c>
    </row>
    <row r="79" spans="1:8" x14ac:dyDescent="0.35">
      <c r="A79" s="94" t="s">
        <v>86</v>
      </c>
      <c r="B79" s="94" t="s">
        <v>162</v>
      </c>
      <c r="C79" s="94"/>
      <c r="D79" s="94" t="s">
        <v>175</v>
      </c>
      <c r="E79" s="97">
        <v>69166</v>
      </c>
      <c r="F79" s="96">
        <v>1</v>
      </c>
      <c r="G79" s="94" t="s">
        <v>181</v>
      </c>
      <c r="H79" s="94" t="s">
        <v>243</v>
      </c>
    </row>
    <row r="80" spans="1:8" x14ac:dyDescent="0.35">
      <c r="A80" s="94" t="s">
        <v>87</v>
      </c>
      <c r="B80" s="94" t="s">
        <v>163</v>
      </c>
      <c r="C80" s="94"/>
      <c r="D80" s="94" t="s">
        <v>175</v>
      </c>
      <c r="E80" s="97">
        <v>78245</v>
      </c>
      <c r="F80" s="96">
        <v>2</v>
      </c>
      <c r="G80" s="94"/>
      <c r="H80" s="94" t="s">
        <v>244</v>
      </c>
    </row>
    <row r="81" spans="1:8" x14ac:dyDescent="0.35">
      <c r="A81" s="94" t="s">
        <v>88</v>
      </c>
      <c r="B81" s="94" t="s">
        <v>164</v>
      </c>
      <c r="C81" s="94" t="s">
        <v>168</v>
      </c>
      <c r="D81" s="94" t="s">
        <v>173</v>
      </c>
      <c r="E81" s="97">
        <v>66079</v>
      </c>
      <c r="F81" s="96">
        <v>2</v>
      </c>
      <c r="G81" s="94" t="s">
        <v>179</v>
      </c>
      <c r="H81" s="94" t="s">
        <v>245</v>
      </c>
    </row>
    <row r="82" spans="1:8" x14ac:dyDescent="0.35">
      <c r="A82" s="94" t="s">
        <v>89</v>
      </c>
      <c r="B82" s="94" t="s">
        <v>159</v>
      </c>
      <c r="C82" s="94" t="s">
        <v>170</v>
      </c>
      <c r="D82" s="94" t="s">
        <v>174</v>
      </c>
      <c r="E82" s="98" t="s">
        <v>177</v>
      </c>
      <c r="F82" s="96"/>
      <c r="G82" s="94"/>
      <c r="H82" s="94" t="s">
        <v>208</v>
      </c>
    </row>
    <row r="83" spans="1:8" x14ac:dyDescent="0.35">
      <c r="A83" s="94" t="s">
        <v>90</v>
      </c>
      <c r="B83" s="94" t="s">
        <v>162</v>
      </c>
      <c r="C83" s="94" t="s">
        <v>168</v>
      </c>
      <c r="D83" s="94" t="s">
        <v>173</v>
      </c>
      <c r="E83" s="97">
        <v>95621</v>
      </c>
      <c r="F83" s="96">
        <v>3</v>
      </c>
      <c r="G83" s="94" t="s">
        <v>181</v>
      </c>
      <c r="H83" s="94" t="s">
        <v>246</v>
      </c>
    </row>
    <row r="84" spans="1:8" x14ac:dyDescent="0.35">
      <c r="A84" s="94" t="s">
        <v>91</v>
      </c>
      <c r="B84" s="94" t="s">
        <v>159</v>
      </c>
      <c r="C84" s="94" t="s">
        <v>169</v>
      </c>
      <c r="D84" s="94" t="s">
        <v>175</v>
      </c>
      <c r="E84" s="97">
        <v>42262</v>
      </c>
      <c r="F84" s="96">
        <v>1</v>
      </c>
      <c r="G84" s="94"/>
      <c r="H84" s="94" t="s">
        <v>247</v>
      </c>
    </row>
    <row r="85" spans="1:8" x14ac:dyDescent="0.35">
      <c r="A85" s="94" t="s">
        <v>92</v>
      </c>
      <c r="B85" s="94" t="s">
        <v>163</v>
      </c>
      <c r="C85" s="94" t="s">
        <v>168</v>
      </c>
      <c r="D85" s="94" t="s">
        <v>174</v>
      </c>
      <c r="E85" s="97">
        <v>99621</v>
      </c>
      <c r="F85" s="96"/>
      <c r="G85" s="94" t="s">
        <v>179</v>
      </c>
      <c r="H85" s="94" t="s">
        <v>248</v>
      </c>
    </row>
    <row r="86" spans="1:8" x14ac:dyDescent="0.35">
      <c r="A86" s="94" t="s">
        <v>93</v>
      </c>
      <c r="B86" s="94" t="s">
        <v>161</v>
      </c>
      <c r="C86" s="94" t="s">
        <v>170</v>
      </c>
      <c r="D86" s="94" t="s">
        <v>174</v>
      </c>
      <c r="E86" s="97">
        <v>44682</v>
      </c>
      <c r="F86" s="96">
        <v>4</v>
      </c>
      <c r="G86" s="94" t="s">
        <v>181</v>
      </c>
      <c r="H86" s="94" t="s">
        <v>220</v>
      </c>
    </row>
    <row r="87" spans="1:8" x14ac:dyDescent="0.35">
      <c r="A87" s="94" t="s">
        <v>94</v>
      </c>
      <c r="B87" s="94" t="s">
        <v>164</v>
      </c>
      <c r="C87" s="94" t="s">
        <v>166</v>
      </c>
      <c r="D87" s="94"/>
      <c r="E87" s="97">
        <v>35163</v>
      </c>
      <c r="F87" s="96">
        <v>5</v>
      </c>
      <c r="G87" s="94" t="s">
        <v>179</v>
      </c>
      <c r="H87" s="94" t="s">
        <v>249</v>
      </c>
    </row>
    <row r="88" spans="1:8" x14ac:dyDescent="0.35">
      <c r="A88" s="94" t="s">
        <v>95</v>
      </c>
      <c r="B88" s="94" t="s">
        <v>164</v>
      </c>
      <c r="C88" s="94" t="s">
        <v>169</v>
      </c>
      <c r="D88" s="94" t="s">
        <v>174</v>
      </c>
      <c r="E88" s="97">
        <v>33483</v>
      </c>
      <c r="F88" s="96">
        <v>4</v>
      </c>
      <c r="G88" s="94" t="s">
        <v>180</v>
      </c>
      <c r="H88" s="94" t="s">
        <v>250</v>
      </c>
    </row>
    <row r="89" spans="1:8" x14ac:dyDescent="0.35">
      <c r="A89" s="94" t="s">
        <v>96</v>
      </c>
      <c r="B89" s="94" t="s">
        <v>163</v>
      </c>
      <c r="C89" s="94" t="s">
        <v>167</v>
      </c>
      <c r="D89" s="94" t="s">
        <v>172</v>
      </c>
      <c r="E89" s="97">
        <v>55303</v>
      </c>
      <c r="F89" s="96">
        <v>4</v>
      </c>
      <c r="G89" s="94" t="s">
        <v>180</v>
      </c>
      <c r="H89" s="94" t="s">
        <v>203</v>
      </c>
    </row>
    <row r="90" spans="1:8" x14ac:dyDescent="0.35">
      <c r="A90" s="94" t="s">
        <v>97</v>
      </c>
      <c r="B90" s="94" t="s">
        <v>164</v>
      </c>
      <c r="C90" s="94" t="s">
        <v>169</v>
      </c>
      <c r="D90" s="94"/>
      <c r="E90" s="97">
        <v>63434</v>
      </c>
      <c r="F90" s="96">
        <v>3</v>
      </c>
      <c r="G90" s="94"/>
      <c r="H90" s="94" t="s">
        <v>251</v>
      </c>
    </row>
    <row r="91" spans="1:8" x14ac:dyDescent="0.35">
      <c r="A91" s="94" t="s">
        <v>98</v>
      </c>
      <c r="B91" s="94" t="s">
        <v>162</v>
      </c>
      <c r="C91" s="94"/>
      <c r="D91" s="94" t="s">
        <v>176</v>
      </c>
      <c r="E91" s="97"/>
      <c r="F91" s="96">
        <v>3</v>
      </c>
      <c r="G91" s="94" t="s">
        <v>179</v>
      </c>
      <c r="H91" s="94" t="s">
        <v>203</v>
      </c>
    </row>
    <row r="92" spans="1:8" x14ac:dyDescent="0.35">
      <c r="A92" s="94" t="s">
        <v>99</v>
      </c>
      <c r="B92" s="94"/>
      <c r="C92" s="94" t="s">
        <v>170</v>
      </c>
      <c r="D92" s="94" t="s">
        <v>175</v>
      </c>
      <c r="E92" s="97">
        <v>50741</v>
      </c>
      <c r="F92" s="96">
        <v>3</v>
      </c>
      <c r="G92" s="94" t="s">
        <v>178</v>
      </c>
      <c r="H92" s="94" t="s">
        <v>240</v>
      </c>
    </row>
    <row r="93" spans="1:8" x14ac:dyDescent="0.35">
      <c r="A93" s="94" t="s">
        <v>100</v>
      </c>
      <c r="B93" s="94" t="s">
        <v>160</v>
      </c>
      <c r="C93" s="94" t="s">
        <v>167</v>
      </c>
      <c r="D93" s="94" t="s">
        <v>176</v>
      </c>
      <c r="E93" s="97">
        <v>69420</v>
      </c>
      <c r="F93" s="96">
        <v>1</v>
      </c>
      <c r="G93" s="94" t="s">
        <v>180</v>
      </c>
      <c r="H93" s="94" t="s">
        <v>225</v>
      </c>
    </row>
    <row r="94" spans="1:8" x14ac:dyDescent="0.35">
      <c r="A94" s="94" t="s">
        <v>101</v>
      </c>
      <c r="B94" s="94" t="s">
        <v>162</v>
      </c>
      <c r="C94" s="94" t="s">
        <v>169</v>
      </c>
      <c r="D94" s="94"/>
      <c r="E94" s="97">
        <v>80588</v>
      </c>
      <c r="F94" s="96">
        <v>5</v>
      </c>
      <c r="G94" s="94" t="s">
        <v>180</v>
      </c>
      <c r="H94" s="94" t="s">
        <v>216</v>
      </c>
    </row>
    <row r="95" spans="1:8" x14ac:dyDescent="0.35">
      <c r="A95" s="94" t="s">
        <v>102</v>
      </c>
      <c r="B95" s="94" t="s">
        <v>160</v>
      </c>
      <c r="C95" s="94"/>
      <c r="D95" s="94" t="s">
        <v>173</v>
      </c>
      <c r="E95" s="97">
        <v>76238</v>
      </c>
      <c r="F95" s="96">
        <v>4</v>
      </c>
      <c r="G95" s="94" t="s">
        <v>180</v>
      </c>
      <c r="H95" s="94" t="s">
        <v>252</v>
      </c>
    </row>
    <row r="96" spans="1:8" x14ac:dyDescent="0.35">
      <c r="A96" s="94" t="s">
        <v>103</v>
      </c>
      <c r="B96" s="94" t="s">
        <v>165</v>
      </c>
      <c r="C96" s="94" t="s">
        <v>169</v>
      </c>
      <c r="D96" s="94" t="s">
        <v>174</v>
      </c>
      <c r="E96" s="97">
        <v>33264</v>
      </c>
      <c r="F96" s="96"/>
      <c r="G96" s="94" t="s">
        <v>181</v>
      </c>
      <c r="H96" s="94" t="s">
        <v>253</v>
      </c>
    </row>
    <row r="97" spans="1:8" x14ac:dyDescent="0.35">
      <c r="A97" s="94" t="s">
        <v>104</v>
      </c>
      <c r="B97" s="94" t="s">
        <v>160</v>
      </c>
      <c r="C97" s="94" t="s">
        <v>166</v>
      </c>
      <c r="D97" s="94" t="s">
        <v>176</v>
      </c>
      <c r="E97" s="97">
        <v>96101</v>
      </c>
      <c r="F97" s="96"/>
      <c r="G97" s="94" t="s">
        <v>179</v>
      </c>
      <c r="H97" s="94" t="s">
        <v>254</v>
      </c>
    </row>
    <row r="98" spans="1:8" x14ac:dyDescent="0.35">
      <c r="A98" s="94" t="s">
        <v>105</v>
      </c>
      <c r="B98" s="94" t="s">
        <v>162</v>
      </c>
      <c r="C98" s="94" t="s">
        <v>166</v>
      </c>
      <c r="D98" s="94" t="s">
        <v>173</v>
      </c>
      <c r="E98" s="97">
        <v>72939</v>
      </c>
      <c r="F98" s="96">
        <v>3</v>
      </c>
      <c r="G98" s="94"/>
      <c r="H98" s="94" t="s">
        <v>255</v>
      </c>
    </row>
    <row r="99" spans="1:8" x14ac:dyDescent="0.35">
      <c r="A99" s="94" t="s">
        <v>106</v>
      </c>
      <c r="B99" s="94" t="s">
        <v>163</v>
      </c>
      <c r="C99" s="94" t="s">
        <v>167</v>
      </c>
      <c r="D99" s="94" t="s">
        <v>172</v>
      </c>
      <c r="E99" s="97">
        <v>89333</v>
      </c>
      <c r="F99" s="96">
        <v>1</v>
      </c>
      <c r="G99" s="94" t="s">
        <v>180</v>
      </c>
      <c r="H99" s="94" t="s">
        <v>256</v>
      </c>
    </row>
    <row r="100" spans="1:8" x14ac:dyDescent="0.35">
      <c r="A100" s="94" t="s">
        <v>107</v>
      </c>
      <c r="B100" s="94" t="s">
        <v>165</v>
      </c>
      <c r="C100" s="94" t="s">
        <v>169</v>
      </c>
      <c r="D100" s="94" t="s">
        <v>176</v>
      </c>
      <c r="E100" s="97">
        <v>70470</v>
      </c>
      <c r="F100" s="96"/>
      <c r="G100" s="94" t="s">
        <v>180</v>
      </c>
      <c r="H100" s="94" t="s">
        <v>257</v>
      </c>
    </row>
    <row r="101" spans="1:8" x14ac:dyDescent="0.35">
      <c r="A101" s="94" t="s">
        <v>108</v>
      </c>
      <c r="B101" s="94" t="s">
        <v>159</v>
      </c>
      <c r="C101" s="94" t="s">
        <v>170</v>
      </c>
      <c r="D101" s="94" t="s">
        <v>173</v>
      </c>
      <c r="E101" s="97">
        <v>70096</v>
      </c>
      <c r="F101" s="96">
        <v>4</v>
      </c>
      <c r="G101" s="94" t="s">
        <v>180</v>
      </c>
      <c r="H101" s="94" t="s">
        <v>258</v>
      </c>
    </row>
    <row r="102" spans="1:8" x14ac:dyDescent="0.35">
      <c r="A102" s="94" t="s">
        <v>109</v>
      </c>
      <c r="B102" s="94" t="s">
        <v>165</v>
      </c>
      <c r="C102" s="94" t="s">
        <v>170</v>
      </c>
      <c r="D102" s="94" t="s">
        <v>171</v>
      </c>
      <c r="E102" s="98" t="s">
        <v>177</v>
      </c>
      <c r="F102" s="96">
        <v>2</v>
      </c>
      <c r="G102" s="94" t="s">
        <v>179</v>
      </c>
      <c r="H102" s="94" t="s">
        <v>259</v>
      </c>
    </row>
    <row r="103" spans="1:8" x14ac:dyDescent="0.35">
      <c r="A103" s="94" t="s">
        <v>110</v>
      </c>
      <c r="B103" s="94" t="s">
        <v>165</v>
      </c>
      <c r="C103" s="94" t="s">
        <v>169</v>
      </c>
      <c r="D103" s="94" t="s">
        <v>172</v>
      </c>
      <c r="E103" s="97">
        <v>66503</v>
      </c>
      <c r="F103" s="96"/>
      <c r="G103" s="94" t="s">
        <v>180</v>
      </c>
      <c r="H103" s="94" t="s">
        <v>200</v>
      </c>
    </row>
    <row r="104" spans="1:8" x14ac:dyDescent="0.35">
      <c r="A104" s="94" t="s">
        <v>111</v>
      </c>
      <c r="B104" s="94" t="s">
        <v>160</v>
      </c>
      <c r="C104" s="94" t="s">
        <v>167</v>
      </c>
      <c r="D104" s="94" t="s">
        <v>172</v>
      </c>
      <c r="E104" s="97">
        <v>42096</v>
      </c>
      <c r="F104" s="96"/>
      <c r="G104" s="94" t="s">
        <v>181</v>
      </c>
      <c r="H104" s="94" t="s">
        <v>260</v>
      </c>
    </row>
    <row r="105" spans="1:8" x14ac:dyDescent="0.35">
      <c r="A105" s="94" t="s">
        <v>112</v>
      </c>
      <c r="B105" s="94" t="s">
        <v>160</v>
      </c>
      <c r="C105" s="94" t="s">
        <v>170</v>
      </c>
      <c r="D105" s="94"/>
      <c r="E105" s="97">
        <v>79145</v>
      </c>
      <c r="F105" s="96">
        <v>5</v>
      </c>
      <c r="G105" s="94" t="s">
        <v>179</v>
      </c>
      <c r="H105" s="94" t="s">
        <v>223</v>
      </c>
    </row>
    <row r="106" spans="1:8" x14ac:dyDescent="0.35">
      <c r="A106" s="94" t="s">
        <v>113</v>
      </c>
      <c r="B106" s="94" t="s">
        <v>162</v>
      </c>
      <c r="C106" s="94"/>
      <c r="D106" s="94" t="s">
        <v>176</v>
      </c>
      <c r="E106" s="97">
        <v>61556</v>
      </c>
      <c r="F106" s="96">
        <v>1</v>
      </c>
      <c r="G106" s="94"/>
      <c r="H106" s="94" t="s">
        <v>259</v>
      </c>
    </row>
    <row r="107" spans="1:8" x14ac:dyDescent="0.35">
      <c r="A107" s="94" t="s">
        <v>114</v>
      </c>
      <c r="B107" s="94"/>
      <c r="C107" s="94" t="s">
        <v>167</v>
      </c>
      <c r="D107" s="94" t="s">
        <v>175</v>
      </c>
      <c r="E107" s="97">
        <v>87963</v>
      </c>
      <c r="F107" s="96">
        <v>3</v>
      </c>
      <c r="G107" s="94" t="s">
        <v>179</v>
      </c>
      <c r="H107" s="94" t="s">
        <v>182</v>
      </c>
    </row>
    <row r="108" spans="1:8" x14ac:dyDescent="0.35">
      <c r="A108" s="94" t="s">
        <v>115</v>
      </c>
      <c r="B108" s="94" t="s">
        <v>159</v>
      </c>
      <c r="C108" s="94" t="s">
        <v>169</v>
      </c>
      <c r="D108" s="94"/>
      <c r="E108" s="97">
        <v>48325</v>
      </c>
      <c r="F108" s="96"/>
      <c r="G108" s="94" t="s">
        <v>180</v>
      </c>
      <c r="H108" s="94" t="s">
        <v>261</v>
      </c>
    </row>
    <row r="109" spans="1:8" x14ac:dyDescent="0.35">
      <c r="A109" s="94" t="s">
        <v>116</v>
      </c>
      <c r="B109" s="94" t="s">
        <v>163</v>
      </c>
      <c r="C109" s="94" t="s">
        <v>170</v>
      </c>
      <c r="D109" s="94" t="s">
        <v>176</v>
      </c>
      <c r="E109" s="97">
        <v>86412</v>
      </c>
      <c r="F109" s="96">
        <v>2</v>
      </c>
      <c r="G109" s="94" t="s">
        <v>181</v>
      </c>
      <c r="H109" s="94" t="s">
        <v>202</v>
      </c>
    </row>
    <row r="110" spans="1:8" x14ac:dyDescent="0.35">
      <c r="A110" s="94" t="s">
        <v>117</v>
      </c>
      <c r="B110" s="94" t="s">
        <v>163</v>
      </c>
      <c r="C110" s="94" t="s">
        <v>167</v>
      </c>
      <c r="D110" s="94"/>
      <c r="E110" s="97">
        <v>66761</v>
      </c>
      <c r="F110" s="96">
        <v>1</v>
      </c>
      <c r="G110" s="94"/>
      <c r="H110" s="94" t="s">
        <v>262</v>
      </c>
    </row>
    <row r="111" spans="1:8" x14ac:dyDescent="0.35">
      <c r="A111" s="94" t="s">
        <v>118</v>
      </c>
      <c r="B111" s="94" t="s">
        <v>162</v>
      </c>
      <c r="C111" s="94"/>
      <c r="D111" s="94" t="s">
        <v>174</v>
      </c>
      <c r="E111" s="97">
        <v>88850</v>
      </c>
      <c r="F111" s="96">
        <v>1</v>
      </c>
      <c r="G111" s="94" t="s">
        <v>181</v>
      </c>
      <c r="H111" s="94" t="s">
        <v>263</v>
      </c>
    </row>
    <row r="112" spans="1:8" x14ac:dyDescent="0.35">
      <c r="A112" s="94" t="s">
        <v>119</v>
      </c>
      <c r="B112" s="94" t="s">
        <v>164</v>
      </c>
      <c r="C112" s="94" t="s">
        <v>168</v>
      </c>
      <c r="D112" s="94" t="s">
        <v>174</v>
      </c>
      <c r="E112" s="97">
        <v>31293</v>
      </c>
      <c r="F112" s="96">
        <v>2</v>
      </c>
      <c r="G112" s="94" t="s">
        <v>181</v>
      </c>
      <c r="H112" s="94" t="s">
        <v>264</v>
      </c>
    </row>
    <row r="113" spans="1:8" x14ac:dyDescent="0.35">
      <c r="A113" s="94" t="s">
        <v>120</v>
      </c>
      <c r="B113" s="94" t="s">
        <v>164</v>
      </c>
      <c r="C113" s="94" t="s">
        <v>169</v>
      </c>
      <c r="D113" s="94" t="s">
        <v>173</v>
      </c>
      <c r="E113" s="97">
        <v>34306</v>
      </c>
      <c r="F113" s="96">
        <v>5</v>
      </c>
      <c r="G113" s="94" t="s">
        <v>181</v>
      </c>
      <c r="H113" s="94" t="s">
        <v>239</v>
      </c>
    </row>
    <row r="114" spans="1:8" x14ac:dyDescent="0.35">
      <c r="A114" s="94" t="s">
        <v>121</v>
      </c>
      <c r="B114" s="94" t="s">
        <v>159</v>
      </c>
      <c r="C114" s="94" t="s">
        <v>166</v>
      </c>
      <c r="D114" s="94" t="s">
        <v>174</v>
      </c>
      <c r="E114" s="97">
        <v>78330</v>
      </c>
      <c r="F114" s="96"/>
      <c r="G114" s="94" t="s">
        <v>179</v>
      </c>
      <c r="H114" s="94" t="s">
        <v>258</v>
      </c>
    </row>
    <row r="115" spans="1:8" x14ac:dyDescent="0.35">
      <c r="A115" s="94" t="s">
        <v>122</v>
      </c>
      <c r="B115" s="94" t="s">
        <v>160</v>
      </c>
      <c r="C115" s="94" t="s">
        <v>169</v>
      </c>
      <c r="D115" s="94" t="s">
        <v>173</v>
      </c>
      <c r="E115" s="97">
        <v>47653</v>
      </c>
      <c r="F115" s="96">
        <v>1</v>
      </c>
      <c r="G115" s="94" t="s">
        <v>180</v>
      </c>
      <c r="H115" s="94" t="s">
        <v>265</v>
      </c>
    </row>
    <row r="116" spans="1:8" x14ac:dyDescent="0.35">
      <c r="A116" s="94" t="s">
        <v>123</v>
      </c>
      <c r="B116" s="94" t="s">
        <v>159</v>
      </c>
      <c r="C116" s="94" t="s">
        <v>170</v>
      </c>
      <c r="D116" s="94" t="s">
        <v>175</v>
      </c>
      <c r="E116" s="97">
        <v>44627</v>
      </c>
      <c r="F116" s="96">
        <v>4</v>
      </c>
      <c r="G116" s="94"/>
      <c r="H116" s="94" t="s">
        <v>235</v>
      </c>
    </row>
    <row r="117" spans="1:8" x14ac:dyDescent="0.35">
      <c r="A117" s="94" t="s">
        <v>124</v>
      </c>
      <c r="B117" s="94" t="s">
        <v>165</v>
      </c>
      <c r="C117" s="94" t="s">
        <v>167</v>
      </c>
      <c r="D117" s="94" t="s">
        <v>172</v>
      </c>
      <c r="E117" s="97">
        <v>92343</v>
      </c>
      <c r="F117" s="96">
        <v>4</v>
      </c>
      <c r="G117" s="94" t="s">
        <v>181</v>
      </c>
      <c r="H117" s="94" t="s">
        <v>203</v>
      </c>
    </row>
    <row r="118" spans="1:8" x14ac:dyDescent="0.35">
      <c r="A118" s="94" t="s">
        <v>125</v>
      </c>
      <c r="B118" s="94" t="s">
        <v>165</v>
      </c>
      <c r="C118" s="94" t="s">
        <v>170</v>
      </c>
      <c r="D118" s="94" t="s">
        <v>176</v>
      </c>
      <c r="E118" s="97">
        <v>38837</v>
      </c>
      <c r="F118" s="96">
        <v>5</v>
      </c>
      <c r="G118" s="94" t="s">
        <v>181</v>
      </c>
      <c r="H118" s="94" t="s">
        <v>239</v>
      </c>
    </row>
    <row r="119" spans="1:8" x14ac:dyDescent="0.35">
      <c r="A119" s="94" t="s">
        <v>126</v>
      </c>
      <c r="B119" s="94" t="s">
        <v>165</v>
      </c>
      <c r="C119" s="94" t="s">
        <v>170</v>
      </c>
      <c r="D119" s="94"/>
      <c r="E119" s="97">
        <v>73483</v>
      </c>
      <c r="F119" s="96">
        <v>1</v>
      </c>
      <c r="G119" s="94"/>
      <c r="H119" s="94" t="s">
        <v>266</v>
      </c>
    </row>
    <row r="120" spans="1:8" x14ac:dyDescent="0.35">
      <c r="A120" s="94" t="s">
        <v>127</v>
      </c>
      <c r="B120" s="94" t="s">
        <v>164</v>
      </c>
      <c r="C120" s="94" t="s">
        <v>168</v>
      </c>
      <c r="D120" s="94" t="s">
        <v>174</v>
      </c>
      <c r="E120" s="97">
        <v>95032</v>
      </c>
      <c r="F120" s="96">
        <v>3</v>
      </c>
      <c r="G120" s="94"/>
      <c r="H120" s="94" t="s">
        <v>267</v>
      </c>
    </row>
    <row r="121" spans="1:8" x14ac:dyDescent="0.35">
      <c r="A121" s="94" t="s">
        <v>128</v>
      </c>
      <c r="B121" s="94" t="s">
        <v>159</v>
      </c>
      <c r="C121" s="94" t="s">
        <v>168</v>
      </c>
      <c r="D121" s="94" t="s">
        <v>176</v>
      </c>
      <c r="E121" s="97">
        <v>44358</v>
      </c>
      <c r="F121" s="96"/>
      <c r="G121" s="94" t="s">
        <v>181</v>
      </c>
      <c r="H121" s="94" t="s">
        <v>200</v>
      </c>
    </row>
    <row r="122" spans="1:8" x14ac:dyDescent="0.35">
      <c r="A122" s="94" t="s">
        <v>129</v>
      </c>
      <c r="B122" s="94"/>
      <c r="C122" s="94" t="s">
        <v>169</v>
      </c>
      <c r="D122" s="94" t="s">
        <v>173</v>
      </c>
      <c r="E122" s="98" t="s">
        <v>177</v>
      </c>
      <c r="F122" s="96">
        <v>5</v>
      </c>
      <c r="G122" s="94" t="s">
        <v>178</v>
      </c>
      <c r="H122" s="94" t="s">
        <v>268</v>
      </c>
    </row>
    <row r="123" spans="1:8" x14ac:dyDescent="0.35">
      <c r="A123" s="94" t="s">
        <v>130</v>
      </c>
      <c r="B123" s="94" t="s">
        <v>164</v>
      </c>
      <c r="C123" s="94" t="s">
        <v>168</v>
      </c>
      <c r="D123" s="94" t="s">
        <v>173</v>
      </c>
      <c r="E123" s="97">
        <v>45676</v>
      </c>
      <c r="F123" s="96">
        <v>2</v>
      </c>
      <c r="G123" s="94"/>
      <c r="H123" s="94" t="s">
        <v>269</v>
      </c>
    </row>
    <row r="124" spans="1:8" x14ac:dyDescent="0.35">
      <c r="A124" s="94" t="s">
        <v>131</v>
      </c>
      <c r="B124" s="94" t="s">
        <v>165</v>
      </c>
      <c r="C124" s="94" t="s">
        <v>168</v>
      </c>
      <c r="D124" s="94" t="s">
        <v>172</v>
      </c>
      <c r="E124" s="97">
        <v>52036</v>
      </c>
      <c r="F124" s="96">
        <v>3</v>
      </c>
      <c r="G124" s="94" t="s">
        <v>180</v>
      </c>
      <c r="H124" s="94" t="s">
        <v>270</v>
      </c>
    </row>
    <row r="125" spans="1:8" x14ac:dyDescent="0.35">
      <c r="A125" s="94" t="s">
        <v>132</v>
      </c>
      <c r="B125" s="94" t="s">
        <v>162</v>
      </c>
      <c r="C125" s="94"/>
      <c r="D125" s="94" t="s">
        <v>172</v>
      </c>
      <c r="E125" s="97">
        <v>30357</v>
      </c>
      <c r="F125" s="96">
        <v>5</v>
      </c>
      <c r="G125" s="94" t="s">
        <v>180</v>
      </c>
      <c r="H125" s="94" t="s">
        <v>248</v>
      </c>
    </row>
    <row r="126" spans="1:8" x14ac:dyDescent="0.35">
      <c r="A126" s="94" t="s">
        <v>133</v>
      </c>
      <c r="B126" s="94" t="s">
        <v>161</v>
      </c>
      <c r="C126" s="94" t="s">
        <v>169</v>
      </c>
      <c r="D126" s="94"/>
      <c r="E126" s="97">
        <v>60034</v>
      </c>
      <c r="F126" s="96">
        <v>1</v>
      </c>
      <c r="G126" s="94" t="s">
        <v>181</v>
      </c>
      <c r="H126" s="94" t="s">
        <v>271</v>
      </c>
    </row>
    <row r="127" spans="1:8" x14ac:dyDescent="0.35">
      <c r="A127" s="94" t="s">
        <v>134</v>
      </c>
      <c r="B127" s="94" t="s">
        <v>161</v>
      </c>
      <c r="C127" s="94" t="s">
        <v>166</v>
      </c>
      <c r="D127" s="94" t="s">
        <v>171</v>
      </c>
      <c r="E127" s="97">
        <v>90019</v>
      </c>
      <c r="F127" s="96">
        <v>5</v>
      </c>
      <c r="G127" s="94"/>
      <c r="H127" s="94" t="s">
        <v>272</v>
      </c>
    </row>
    <row r="128" spans="1:8" x14ac:dyDescent="0.35">
      <c r="A128" s="94" t="s">
        <v>135</v>
      </c>
      <c r="B128" s="94" t="s">
        <v>165</v>
      </c>
      <c r="C128" s="94"/>
      <c r="D128" s="94" t="s">
        <v>172</v>
      </c>
      <c r="E128" s="97">
        <v>71494</v>
      </c>
      <c r="F128" s="96">
        <v>3</v>
      </c>
      <c r="G128" s="94" t="s">
        <v>180</v>
      </c>
      <c r="H128" s="94" t="s">
        <v>273</v>
      </c>
    </row>
    <row r="129" spans="1:8" x14ac:dyDescent="0.35">
      <c r="A129" s="94" t="s">
        <v>136</v>
      </c>
      <c r="B129" s="94" t="s">
        <v>161</v>
      </c>
      <c r="C129" s="94" t="s">
        <v>166</v>
      </c>
      <c r="D129" s="94" t="s">
        <v>173</v>
      </c>
      <c r="E129" s="97">
        <v>91953</v>
      </c>
      <c r="F129" s="96">
        <v>2</v>
      </c>
      <c r="G129" s="94" t="s">
        <v>180</v>
      </c>
      <c r="H129" s="94" t="s">
        <v>209</v>
      </c>
    </row>
    <row r="130" spans="1:8" x14ac:dyDescent="0.35">
      <c r="A130" s="94" t="s">
        <v>137</v>
      </c>
      <c r="B130" s="94" t="s">
        <v>164</v>
      </c>
      <c r="C130" s="94" t="s">
        <v>168</v>
      </c>
      <c r="D130" s="94" t="s">
        <v>173</v>
      </c>
      <c r="E130" s="97">
        <v>30402</v>
      </c>
      <c r="F130" s="96">
        <v>1</v>
      </c>
      <c r="G130" s="94"/>
      <c r="H130" s="94" t="s">
        <v>274</v>
      </c>
    </row>
    <row r="131" spans="1:8" x14ac:dyDescent="0.35">
      <c r="A131" s="94" t="s">
        <v>138</v>
      </c>
      <c r="B131" s="94" t="s">
        <v>165</v>
      </c>
      <c r="C131" s="94"/>
      <c r="D131" s="94" t="s">
        <v>175</v>
      </c>
      <c r="E131" s="97">
        <v>62994</v>
      </c>
      <c r="F131" s="96"/>
      <c r="G131" s="94"/>
      <c r="H131" s="94" t="s">
        <v>221</v>
      </c>
    </row>
    <row r="132" spans="1:8" x14ac:dyDescent="0.35">
      <c r="A132" s="94" t="s">
        <v>139</v>
      </c>
      <c r="B132" s="94" t="s">
        <v>160</v>
      </c>
      <c r="C132" s="94" t="s">
        <v>168</v>
      </c>
      <c r="D132" s="94" t="s">
        <v>174</v>
      </c>
      <c r="E132" s="97">
        <v>48289</v>
      </c>
      <c r="F132" s="96">
        <v>3</v>
      </c>
      <c r="G132" s="94" t="s">
        <v>180</v>
      </c>
      <c r="H132" s="94" t="s">
        <v>189</v>
      </c>
    </row>
    <row r="133" spans="1:8" x14ac:dyDescent="0.35">
      <c r="A133" s="94" t="s">
        <v>140</v>
      </c>
      <c r="B133" s="94" t="s">
        <v>163</v>
      </c>
      <c r="C133" s="94" t="s">
        <v>170</v>
      </c>
      <c r="D133" s="94" t="s">
        <v>172</v>
      </c>
      <c r="E133" s="97">
        <v>34402</v>
      </c>
      <c r="F133" s="96">
        <v>3</v>
      </c>
      <c r="G133" s="94" t="s">
        <v>179</v>
      </c>
      <c r="H133" s="94" t="s">
        <v>218</v>
      </c>
    </row>
    <row r="134" spans="1:8" x14ac:dyDescent="0.35">
      <c r="A134" s="94" t="s">
        <v>141</v>
      </c>
      <c r="B134" s="94" t="s">
        <v>159</v>
      </c>
      <c r="C134" s="94" t="s">
        <v>167</v>
      </c>
      <c r="D134" s="94" t="s">
        <v>173</v>
      </c>
      <c r="E134" s="97">
        <v>38678</v>
      </c>
      <c r="F134" s="96">
        <v>3</v>
      </c>
      <c r="G134" s="94" t="s">
        <v>179</v>
      </c>
      <c r="H134" s="94" t="s">
        <v>275</v>
      </c>
    </row>
    <row r="135" spans="1:8" x14ac:dyDescent="0.35">
      <c r="A135" s="94" t="s">
        <v>142</v>
      </c>
      <c r="B135" s="94" t="s">
        <v>164</v>
      </c>
      <c r="C135" s="94" t="s">
        <v>167</v>
      </c>
      <c r="D135" s="94" t="s">
        <v>172</v>
      </c>
      <c r="E135" s="97">
        <v>45758</v>
      </c>
      <c r="F135" s="96">
        <v>3</v>
      </c>
      <c r="G135" s="94"/>
      <c r="H135" s="94" t="s">
        <v>264</v>
      </c>
    </row>
    <row r="136" spans="1:8" x14ac:dyDescent="0.35">
      <c r="A136" s="94" t="s">
        <v>143</v>
      </c>
      <c r="B136" s="94" t="s">
        <v>159</v>
      </c>
      <c r="C136" s="94" t="s">
        <v>170</v>
      </c>
      <c r="D136" s="94" t="s">
        <v>174</v>
      </c>
      <c r="E136" s="97">
        <f>SUBTOTAL(105,E2:E135)</f>
        <v>30280</v>
      </c>
      <c r="F136" s="96">
        <v>1</v>
      </c>
      <c r="G136" s="94" t="s">
        <v>179</v>
      </c>
      <c r="H136" s="94" t="s">
        <v>231</v>
      </c>
    </row>
    <row r="137" spans="1:8" x14ac:dyDescent="0.35">
      <c r="A137" s="94" t="s">
        <v>144</v>
      </c>
      <c r="B137" s="94"/>
      <c r="C137" s="94" t="s">
        <v>169</v>
      </c>
      <c r="D137" s="94" t="s">
        <v>175</v>
      </c>
      <c r="E137" s="97">
        <v>39280</v>
      </c>
      <c r="F137" s="96">
        <v>3</v>
      </c>
      <c r="G137" s="94" t="s">
        <v>181</v>
      </c>
      <c r="H137" s="94" t="s">
        <v>214</v>
      </c>
    </row>
    <row r="138" spans="1:8" x14ac:dyDescent="0.35">
      <c r="A138" s="94" t="s">
        <v>145</v>
      </c>
      <c r="B138" s="94" t="s">
        <v>162</v>
      </c>
      <c r="C138" s="94" t="s">
        <v>166</v>
      </c>
      <c r="D138" s="94" t="s">
        <v>174</v>
      </c>
      <c r="E138" s="97">
        <v>60335</v>
      </c>
      <c r="F138" s="96">
        <v>4</v>
      </c>
      <c r="G138" s="94" t="s">
        <v>179</v>
      </c>
      <c r="H138" s="94" t="s">
        <v>227</v>
      </c>
    </row>
    <row r="139" spans="1:8" x14ac:dyDescent="0.35">
      <c r="A139" s="94" t="s">
        <v>146</v>
      </c>
      <c r="B139" s="94" t="s">
        <v>164</v>
      </c>
      <c r="C139" s="94" t="s">
        <v>167</v>
      </c>
      <c r="D139" s="94" t="s">
        <v>172</v>
      </c>
      <c r="E139" s="97">
        <v>84968</v>
      </c>
      <c r="F139" s="96"/>
      <c r="G139" s="94"/>
      <c r="H139" s="94" t="s">
        <v>276</v>
      </c>
    </row>
    <row r="140" spans="1:8" x14ac:dyDescent="0.35">
      <c r="A140" s="94" t="s">
        <v>147</v>
      </c>
      <c r="B140" s="94" t="s">
        <v>164</v>
      </c>
      <c r="C140" s="94" t="s">
        <v>170</v>
      </c>
      <c r="D140" s="94" t="s">
        <v>176</v>
      </c>
      <c r="E140" s="99">
        <v>84750</v>
      </c>
      <c r="F140" s="96">
        <v>4</v>
      </c>
      <c r="G140" s="94" t="s">
        <v>181</v>
      </c>
      <c r="H140" s="94" t="s">
        <v>195</v>
      </c>
    </row>
    <row r="141" spans="1:8" x14ac:dyDescent="0.35">
      <c r="A141" s="94" t="s">
        <v>148</v>
      </c>
      <c r="B141" s="94" t="s">
        <v>165</v>
      </c>
      <c r="C141" s="94" t="s">
        <v>169</v>
      </c>
      <c r="D141" s="94"/>
      <c r="E141" s="97">
        <v>73348</v>
      </c>
      <c r="F141" s="96">
        <v>2</v>
      </c>
      <c r="G141" s="94"/>
      <c r="H141" s="94" t="s">
        <v>243</v>
      </c>
    </row>
    <row r="142" spans="1:8" x14ac:dyDescent="0.35">
      <c r="A142" s="94" t="s">
        <v>149</v>
      </c>
      <c r="B142" s="94" t="s">
        <v>164</v>
      </c>
      <c r="C142" s="94" t="s">
        <v>168</v>
      </c>
      <c r="D142" s="94" t="s">
        <v>173</v>
      </c>
      <c r="E142" s="98" t="s">
        <v>177</v>
      </c>
      <c r="F142" s="96">
        <v>4</v>
      </c>
      <c r="G142" s="94" t="s">
        <v>179</v>
      </c>
      <c r="H142" s="94" t="s">
        <v>182</v>
      </c>
    </row>
    <row r="143" spans="1:8" x14ac:dyDescent="0.35">
      <c r="A143" s="94" t="s">
        <v>150</v>
      </c>
      <c r="B143" s="94" t="s">
        <v>162</v>
      </c>
      <c r="C143" s="94" t="s">
        <v>170</v>
      </c>
      <c r="D143" s="94" t="s">
        <v>173</v>
      </c>
      <c r="E143" s="97">
        <v>66882</v>
      </c>
      <c r="F143" s="96">
        <v>5</v>
      </c>
      <c r="G143" s="94" t="s">
        <v>179</v>
      </c>
      <c r="H143" s="94" t="s">
        <v>207</v>
      </c>
    </row>
    <row r="144" spans="1:8" x14ac:dyDescent="0.35">
      <c r="A144" s="94" t="s">
        <v>151</v>
      </c>
      <c r="B144" s="94" t="s">
        <v>160</v>
      </c>
      <c r="C144" s="94" t="s">
        <v>170</v>
      </c>
      <c r="D144" s="94"/>
      <c r="E144" s="97">
        <v>86775</v>
      </c>
      <c r="F144" s="96">
        <v>3</v>
      </c>
      <c r="G144" s="94" t="s">
        <v>179</v>
      </c>
      <c r="H144" s="94" t="s">
        <v>212</v>
      </c>
    </row>
    <row r="145" spans="1:8" x14ac:dyDescent="0.35">
      <c r="A145" s="94" t="s">
        <v>152</v>
      </c>
      <c r="B145" s="94" t="s">
        <v>164</v>
      </c>
      <c r="C145" s="94" t="s">
        <v>168</v>
      </c>
      <c r="D145" s="94" t="s">
        <v>175</v>
      </c>
      <c r="E145" s="97">
        <v>91620</v>
      </c>
      <c r="F145" s="96"/>
      <c r="G145" s="94"/>
      <c r="H145" s="94" t="s">
        <v>277</v>
      </c>
    </row>
    <row r="146" spans="1:8" x14ac:dyDescent="0.35">
      <c r="A146" s="94" t="s">
        <v>153</v>
      </c>
      <c r="B146" s="94" t="s">
        <v>159</v>
      </c>
      <c r="C146" s="94"/>
      <c r="D146" s="94"/>
      <c r="E146" s="97">
        <v>94148</v>
      </c>
      <c r="F146" s="96">
        <v>2</v>
      </c>
      <c r="G146" s="94"/>
      <c r="H146" s="94" t="s">
        <v>278</v>
      </c>
    </row>
    <row r="147" spans="1:8" x14ac:dyDescent="0.35">
      <c r="A147" s="94" t="s">
        <v>154</v>
      </c>
      <c r="B147" s="94" t="s">
        <v>163</v>
      </c>
      <c r="C147" s="94" t="s">
        <v>168</v>
      </c>
      <c r="D147" s="94" t="s">
        <v>176</v>
      </c>
      <c r="E147" s="97">
        <v>35627</v>
      </c>
      <c r="F147" s="96">
        <v>5</v>
      </c>
      <c r="G147" s="94" t="s">
        <v>181</v>
      </c>
      <c r="H147" s="94" t="s">
        <v>275</v>
      </c>
    </row>
    <row r="148" spans="1:8" x14ac:dyDescent="0.35">
      <c r="A148" s="94" t="s">
        <v>155</v>
      </c>
      <c r="B148" s="94" t="s">
        <v>161</v>
      </c>
      <c r="C148" s="94" t="s">
        <v>170</v>
      </c>
      <c r="D148" s="94" t="s">
        <v>173</v>
      </c>
      <c r="E148" s="97">
        <v>57141</v>
      </c>
      <c r="F148" s="96">
        <v>2</v>
      </c>
      <c r="G148" s="94"/>
      <c r="H148" s="94" t="s">
        <v>276</v>
      </c>
    </row>
    <row r="149" spans="1:8" x14ac:dyDescent="0.35">
      <c r="A149" s="94" t="s">
        <v>156</v>
      </c>
      <c r="B149" s="94" t="s">
        <v>165</v>
      </c>
      <c r="C149" s="94" t="s">
        <v>168</v>
      </c>
      <c r="D149" s="94" t="s">
        <v>176</v>
      </c>
      <c r="E149" s="97">
        <v>65270</v>
      </c>
      <c r="F149" s="96">
        <v>1</v>
      </c>
      <c r="G149" s="94"/>
      <c r="H149" s="94" t="s">
        <v>279</v>
      </c>
    </row>
    <row r="150" spans="1:8" x14ac:dyDescent="0.35">
      <c r="A150" s="94" t="s">
        <v>157</v>
      </c>
      <c r="B150" s="94" t="s">
        <v>165</v>
      </c>
      <c r="C150" s="94"/>
      <c r="D150" s="94" t="s">
        <v>175</v>
      </c>
      <c r="E150" s="97">
        <v>67335</v>
      </c>
      <c r="F150" s="96">
        <v>1</v>
      </c>
      <c r="G150" s="94" t="s">
        <v>179</v>
      </c>
      <c r="H150" s="94" t="s">
        <v>233</v>
      </c>
    </row>
    <row r="151" spans="1:8" x14ac:dyDescent="0.35">
      <c r="A151" s="94" t="s">
        <v>158</v>
      </c>
      <c r="B151" s="94" t="s">
        <v>163</v>
      </c>
      <c r="C151" s="94" t="s">
        <v>170</v>
      </c>
      <c r="D151" s="94" t="s">
        <v>174</v>
      </c>
      <c r="E151" s="97">
        <v>98475</v>
      </c>
      <c r="F151" s="96">
        <v>5</v>
      </c>
      <c r="G151" s="94" t="s">
        <v>179</v>
      </c>
      <c r="H151" s="94" t="s">
        <v>280</v>
      </c>
    </row>
    <row r="155" spans="1:8" x14ac:dyDescent="0.35">
      <c r="F155"/>
    </row>
    <row r="156" spans="1:8" x14ac:dyDescent="0.35">
      <c r="E156"/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32" priority="18">
      <formula>LEN(TRIM(B1))=0</formula>
    </cfRule>
    <cfRule type="containsBlanks" dxfId="31" priority="19">
      <formula>LEN(TRIM(B1))=0</formula>
    </cfRule>
    <cfRule type="timePeriod" dxfId="30" priority="23" timePeriod="yesterday">
      <formula>FLOOR(B1,1)=TODAY()-1</formula>
    </cfRule>
    <cfRule type="containsBlanks" dxfId="29" priority="24">
      <formula>LEN(TRIM(B1))=0</formula>
    </cfRule>
  </conditionalFormatting>
  <conditionalFormatting sqref="C1:C151 C357:C1048576">
    <cfRule type="containsBlanks" dxfId="28" priority="21">
      <formula>LEN(TRIM(C1))=0</formula>
    </cfRule>
    <cfRule type="containsBlanks" dxfId="27" priority="22">
      <formula>LEN(TRIM(C1))=0</formula>
    </cfRule>
  </conditionalFormatting>
  <conditionalFormatting sqref="D1:D151 D357:D1048576">
    <cfRule type="containsBlanks" dxfId="26" priority="20">
      <formula>LEN(TRIM(D1))=0</formula>
    </cfRule>
  </conditionalFormatting>
  <conditionalFormatting sqref="E1:E151 E357:E1048576">
    <cfRule type="containsText" dxfId="25" priority="12" operator="containsText" text="N/A">
      <formula>NOT(ISERROR(SEARCH("N/A",E1)))</formula>
    </cfRule>
    <cfRule type="containsBlanks" dxfId="24" priority="17">
      <formula>LEN(TRIM(E1))=0</formula>
    </cfRule>
  </conditionalFormatting>
  <conditionalFormatting sqref="F1:F151 F357:F1048576">
    <cfRule type="containsBlanks" dxfId="23" priority="16">
      <formula>LEN(TRIM(F1))=0</formula>
    </cfRule>
  </conditionalFormatting>
  <conditionalFormatting sqref="G1:G151 G357:G1048576">
    <cfRule type="containsText" dxfId="22" priority="3" operator="containsText" text="other">
      <formula>NOT(ISERROR(SEARCH("other",G1)))</formula>
    </cfRule>
    <cfRule type="containsText" dxfId="21" priority="4" operator="containsText" text="other">
      <formula>NOT(ISERROR(SEARCH("other",G1)))</formula>
    </cfRule>
    <cfRule type="containsText" dxfId="20" priority="5" operator="containsText" text="others">
      <formula>NOT(ISERROR(SEARCH("others",G1)))</formula>
    </cfRule>
    <cfRule type="containsText" dxfId="19" priority="6" operator="containsText" text="others">
      <formula>NOT(ISERROR(SEARCH("others",G1)))</formula>
    </cfRule>
    <cfRule type="containsText" dxfId="18" priority="7" operator="containsText" text="others">
      <formula>NOT(ISERROR(SEARCH("others",G1)))</formula>
    </cfRule>
    <cfRule type="containsText" dxfId="17" priority="8" operator="containsText" text="female">
      <formula>NOT(ISERROR(SEARCH("female",G1)))</formula>
    </cfRule>
    <cfRule type="containsText" dxfId="16" priority="9" operator="containsText" text="male">
      <formula>NOT(ISERROR(SEARCH("male",G1)))</formula>
    </cfRule>
    <cfRule type="containsText" dxfId="15" priority="10" operator="containsText" text="unknown">
      <formula>NOT(ISERROR(SEARCH("unknown",G1)))</formula>
    </cfRule>
    <cfRule type="cellIs" dxfId="14" priority="11" operator="greaterThan">
      <formula>"unknown"</formula>
    </cfRule>
    <cfRule type="containsBlanks" dxfId="13" priority="15">
      <formula>LEN(TRIM(G1))=0</formula>
    </cfRule>
  </conditionalFormatting>
  <conditionalFormatting sqref="H1:H151 H357:H1048576">
    <cfRule type="containsText" dxfId="12" priority="1" operator="containsText" text="invalid_email">
      <formula>NOT(ISERROR(SEARCH("invalid_email",H1)))</formula>
    </cfRule>
    <cfRule type="containsText" dxfId="11" priority="2" operator="containsText" text="invalid_email">
      <formula>NOT(ISERROR(SEARCH("invalid_email",H1)))</formula>
    </cfRule>
    <cfRule type="containsBlanks" dxfId="10" priority="13">
      <formula>LEN(TRIM(H1))=0</formula>
    </cfRule>
    <cfRule type="containsBlanks" dxfId="9" priority="14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abSelected="1" topLeftCell="F1" workbookViewId="0">
      <selection activeCell="J19" sqref="J19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14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14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14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  <c r="K3" s="104" t="s">
        <v>347</v>
      </c>
      <c r="L3" s="105" t="s">
        <v>390</v>
      </c>
      <c r="M3" s="105" t="s">
        <v>348</v>
      </c>
      <c r="N3" s="106" t="s">
        <v>391</v>
      </c>
    </row>
    <row r="4" spans="1:14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  <c r="K4" s="107" t="s">
        <v>377</v>
      </c>
      <c r="L4" s="113">
        <v>68155.190138565144</v>
      </c>
      <c r="M4" s="108" t="s">
        <v>377</v>
      </c>
      <c r="N4" s="114">
        <v>68314.288424157552</v>
      </c>
    </row>
    <row r="5" spans="1:14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07" t="s">
        <v>378</v>
      </c>
      <c r="L5" s="108">
        <v>2163.1487388907153</v>
      </c>
      <c r="M5" s="108" t="s">
        <v>378</v>
      </c>
      <c r="N5" s="109">
        <v>2163.0900848947153</v>
      </c>
    </row>
    <row r="6" spans="1:14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07" t="s">
        <v>379</v>
      </c>
      <c r="L6" s="113">
        <v>66982.875</v>
      </c>
      <c r="M6" s="108" t="s">
        <v>379</v>
      </c>
      <c r="N6" s="114">
        <v>69408.5625</v>
      </c>
    </row>
    <row r="7" spans="1:14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07" t="s">
        <v>380</v>
      </c>
      <c r="L7" s="108">
        <v>66008.307692307688</v>
      </c>
      <c r="M7" s="108" t="s">
        <v>380</v>
      </c>
      <c r="N7" s="109">
        <v>69408.5625</v>
      </c>
    </row>
    <row r="8" spans="1:14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07" t="s">
        <v>381</v>
      </c>
      <c r="L8" s="108">
        <v>21523.0581978929</v>
      </c>
      <c r="M8" s="108" t="s">
        <v>381</v>
      </c>
      <c r="N8" s="109">
        <v>21522.474598001339</v>
      </c>
    </row>
    <row r="9" spans="1:14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07" t="s">
        <v>382</v>
      </c>
      <c r="L9" s="108">
        <v>463242034.18988472</v>
      </c>
      <c r="M9" s="108" t="s">
        <v>382</v>
      </c>
      <c r="N9" s="109">
        <v>463216912.82161289</v>
      </c>
    </row>
    <row r="10" spans="1:14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07" t="s">
        <v>383</v>
      </c>
      <c r="L10" s="108">
        <v>-1.1650276414013285</v>
      </c>
      <c r="M10" s="108" t="s">
        <v>383</v>
      </c>
      <c r="N10" s="109">
        <v>-1.1569822627167101</v>
      </c>
    </row>
    <row r="11" spans="1:14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07" t="s">
        <v>384</v>
      </c>
      <c r="L11" s="108">
        <v>-0.24298369861367158</v>
      </c>
      <c r="M11" s="108" t="s">
        <v>384</v>
      </c>
      <c r="N11" s="109">
        <v>-0.26554601321301169</v>
      </c>
    </row>
    <row r="12" spans="1:14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  <c r="K12" s="107" t="s">
        <v>385</v>
      </c>
      <c r="L12" s="108">
        <v>69341</v>
      </c>
      <c r="M12" s="108" t="s">
        <v>385</v>
      </c>
      <c r="N12" s="109">
        <v>69341</v>
      </c>
    </row>
    <row r="13" spans="1:14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  <c r="K13" s="107" t="s">
        <v>386</v>
      </c>
      <c r="L13" s="108">
        <v>30280</v>
      </c>
      <c r="M13" s="108" t="s">
        <v>386</v>
      </c>
      <c r="N13" s="109">
        <v>30280</v>
      </c>
    </row>
    <row r="14" spans="1:14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  <c r="K14" s="107" t="s">
        <v>387</v>
      </c>
      <c r="L14" s="108">
        <v>99621</v>
      </c>
      <c r="M14" s="108" t="s">
        <v>387</v>
      </c>
      <c r="N14" s="109">
        <v>99621</v>
      </c>
    </row>
    <row r="15" spans="1:14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  <c r="K15" s="107" t="s">
        <v>388</v>
      </c>
      <c r="L15" s="108">
        <v>6747363.823717949</v>
      </c>
      <c r="M15" s="108" t="s">
        <v>388</v>
      </c>
      <c r="N15" s="109">
        <v>6763114.5539915971</v>
      </c>
    </row>
    <row r="16" spans="1:14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  <c r="K16" s="110" t="s">
        <v>389</v>
      </c>
      <c r="L16" s="111">
        <v>99</v>
      </c>
      <c r="M16" s="111" t="s">
        <v>389</v>
      </c>
      <c r="N16" s="112">
        <v>99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8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3833E-B3B7-488F-861D-568C56416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  <vt:lpstr>Sheet2</vt:lpstr>
      <vt:lpstr>TASK8</vt:lpstr>
      <vt:lpstr>TASK9</vt:lpstr>
      <vt:lpstr>TASK10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2026-01-10T14:49:47Z</dcterms:modified>
</cp:coreProperties>
</file>