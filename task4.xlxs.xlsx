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6" i="1" l="1"/>
  <c r="E155" i="1"/>
  <c r="E154" i="1"/>
  <c r="E153" i="1"/>
  <c r="E152" i="1"/>
  <c r="E1048574" i="1" s="1"/>
  <c r="E136" i="1"/>
  <c r="K31" i="1"/>
  <c r="K30" i="1"/>
  <c r="K29" i="1"/>
  <c r="K26" i="1"/>
  <c r="K25" i="1"/>
  <c r="K24" i="1"/>
  <c r="K21" i="1"/>
  <c r="K20" i="1"/>
  <c r="K19" i="1"/>
  <c r="K16" i="1"/>
  <c r="K15" i="1"/>
</calcChain>
</file>

<file path=xl/sharedStrings.xml><?xml version="1.0" encoding="utf-8"?>
<sst xmlns="http://schemas.openxmlformats.org/spreadsheetml/2006/main" count="847" uniqueCount="307">
  <si>
    <t>Employee ID</t>
  </si>
  <si>
    <t>Name</t>
  </si>
  <si>
    <t>Department</t>
  </si>
  <si>
    <t>Country</t>
  </si>
  <si>
    <t>Salary</t>
  </si>
  <si>
    <t>Performance Rating</t>
  </si>
  <si>
    <t>Gender</t>
  </si>
  <si>
    <t>Email</t>
  </si>
  <si>
    <t>Column1</t>
  </si>
  <si>
    <t>TASK3 20/12/2025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</si>
  <si>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</si>
  <si>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</si>
  <si>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</si>
  <si>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</si>
  <si>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</si>
  <si>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</si>
  <si>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</si>
  <si>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</si>
  <si>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</si>
  <si>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</si>
  <si>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</si>
  <si>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</si>
  <si>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TO FIND</t>
  </si>
  <si>
    <t xml:space="preserve"> RESULT FOR SALARY COLUMN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</si>
  <si>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</si>
  <si>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</si>
  <si>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</si>
  <si>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</si>
  <si>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</si>
  <si>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</si>
  <si>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</si>
  <si>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</si>
  <si>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</si>
  <si>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SUM</t>
  </si>
  <si>
    <t>EMP1004</t>
  </si>
  <si>
    <t>Jane Smith</t>
  </si>
  <si>
    <t>user49@example.com</t>
  </si>
  <si>
    <t>AVERAGE</t>
  </si>
  <si>
    <t>EMP1005</t>
  </si>
  <si>
    <t>IT</t>
  </si>
  <si>
    <t>India</t>
  </si>
  <si>
    <t>Female</t>
  </si>
  <si>
    <t>user24@example.com</t>
  </si>
  <si>
    <t>MINIMUM</t>
  </si>
  <si>
    <t>EMP1006</t>
  </si>
  <si>
    <t>Sam Wilson</t>
  </si>
  <si>
    <t>MAXIMUM</t>
  </si>
  <si>
    <t>EMP1007</t>
  </si>
  <si>
    <t>Chris Lee</t>
  </si>
  <si>
    <t>Marketing</t>
  </si>
  <si>
    <t>user26@example.com</t>
  </si>
  <si>
    <t>COUNT</t>
  </si>
  <si>
    <t>EMP1008</t>
  </si>
  <si>
    <t>user25@example.com</t>
  </si>
  <si>
    <t>EMP1009</t>
  </si>
  <si>
    <t>UK</t>
  </si>
  <si>
    <t>user153@example.com</t>
  </si>
  <si>
    <t>TASK 4 21/12/2025</t>
  </si>
  <si>
    <t>EMP1010</t>
  </si>
  <si>
    <t>user18@example.com</t>
  </si>
  <si>
    <t>EMP1011</t>
  </si>
  <si>
    <t>user1@example.com</t>
  </si>
  <si>
    <t>SUMIF</t>
  </si>
  <si>
    <t>EMP1012</t>
  </si>
  <si>
    <t>Bob Johnson</t>
  </si>
  <si>
    <t>Total salary of India</t>
  </si>
  <si>
    <t>EMP1013</t>
  </si>
  <si>
    <t>user180@example.com</t>
  </si>
  <si>
    <t>Total salary of Germany</t>
  </si>
  <si>
    <t>EMP1014</t>
  </si>
  <si>
    <t>user184@example.com</t>
  </si>
  <si>
    <t>Total salary of UK</t>
  </si>
  <si>
    <t>EMP1015</t>
  </si>
  <si>
    <t>user3@example.com</t>
  </si>
  <si>
    <t>EMP1016</t>
  </si>
  <si>
    <t>user64@example.com</t>
  </si>
  <si>
    <t>AVERAGEIF</t>
  </si>
  <si>
    <t>EMP1017</t>
  </si>
  <si>
    <t>Australia</t>
  </si>
  <si>
    <t>user38@example.com</t>
  </si>
  <si>
    <t>AVG SALARY OF MALE</t>
  </si>
  <si>
    <t>EMP1018</t>
  </si>
  <si>
    <t>user96@example.com</t>
  </si>
  <si>
    <t>AVG SALARY OF FEMALE</t>
  </si>
  <si>
    <t>EMP1019</t>
  </si>
  <si>
    <t>user151@example.com</t>
  </si>
  <si>
    <t>AVG SALARY OF OTHER</t>
  </si>
  <si>
    <t>EMP1020</t>
  </si>
  <si>
    <t>user200@example.com</t>
  </si>
  <si>
    <t>EMP1021</t>
  </si>
  <si>
    <t>user77@example.com</t>
  </si>
  <si>
    <t>COUNTIF</t>
  </si>
  <si>
    <t>EMP1022</t>
  </si>
  <si>
    <t>user128@example.com</t>
  </si>
  <si>
    <t xml:space="preserve">COUNTING NUMBER OF HR DEPT </t>
  </si>
  <si>
    <t>EMP1023</t>
  </si>
  <si>
    <t>user149@example.com</t>
  </si>
  <si>
    <t xml:space="preserve">COUNTING NUMBER OF IT DEPT </t>
  </si>
  <si>
    <t>EMP1024</t>
  </si>
  <si>
    <t>user122@example.com</t>
  </si>
  <si>
    <t xml:space="preserve">COUNTING NUMBER OF Sales DEPT </t>
  </si>
  <si>
    <t>EMP1025</t>
  </si>
  <si>
    <t>user41@example.com</t>
  </si>
  <si>
    <t>EMP1026</t>
  </si>
  <si>
    <t>user68@example.com</t>
  </si>
  <si>
    <t>IF AND NESTED IF</t>
  </si>
  <si>
    <t>EMP1027</t>
  </si>
  <si>
    <t>user103@example.com</t>
  </si>
  <si>
    <t>&gt;90000 IN SALARY</t>
  </si>
  <si>
    <t>EMP1028</t>
  </si>
  <si>
    <t>user135@example.com</t>
  </si>
  <si>
    <t>&gt;50000 AND &gt;90000</t>
  </si>
  <si>
    <t>EMP1029</t>
  </si>
  <si>
    <t>user83@example.com</t>
  </si>
  <si>
    <t>&gt;20000 AND &gt;50000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</si>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</sst>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2" fontId="0" fillId="0" borderId="6" xfId="0" applyNumberFormat="1" applyBorder="1" applyAlignment="1"/>
    <xf numFmtId="0" fontId="0" fillId="0" borderId="0" xfId="0" applyBorder="1" applyAlignment="1"/>
    <xf numFmtId="0" fontId="0" fillId="0" borderId="7" xfId="0" applyBorder="1"/>
    <xf numFmtId="2" fontId="0" fillId="0" borderId="8" xfId="0" applyNumberFormat="1" applyBorder="1"/>
    <xf numFmtId="0" fontId="0" fillId="0" borderId="9" xfId="0" applyBorder="1"/>
    <xf numFmtId="2" fontId="0" fillId="0" borderId="10" xfId="0" applyNumberFormat="1" applyBorder="1"/>
    <xf numFmtId="0" fontId="0" fillId="0" borderId="11" xfId="0" applyBorder="1"/>
    <xf numFmtId="0" fontId="2" fillId="3" borderId="0" xfId="0" applyFont="1" applyFill="1" applyBorder="1"/>
    <xf numFmtId="0" fontId="0" fillId="4" borderId="12" xfId="0" applyFill="1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Border="1"/>
  </cellXfs>
  <cellStyles count="1">
    <cellStyle name="Normal" xfId="0" builtinId="0"/>
  </cellStyles>
  <dxfs count="36"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5" displayName="Table135" ref="A1:I151" totalsRowShown="0" headerRowDxfId="11" headerRowBorderDxfId="10" tableBorderDxfId="9">
  <autoFilter ref="A1:I151"/>
  <tableColumns count="9">
    <tableColumn id="1" name="Employee ID"/>
    <tableColumn id="2" name="Name"/>
    <tableColumn id="3" name="Department"/>
    <tableColumn id="4" name="Country"/>
    <tableColumn id="5" name="Salary" dataDxfId="8" totalsRowDxfId="7"/>
    <tableColumn id="6" name="Performance Rating" dataDxfId="6" totalsRowDxfId="5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36" displayName="Table36" ref="J3:K9" totalsRowShown="0" headerRowDxfId="4" headerRowBorderDxfId="3" tableBorderDxfId="2">
  <autoFilter ref="J3:K9"/>
  <tableColumns count="2">
    <tableColumn id="1" name="TO FIND" dataDxfId="1"/>
    <tableColumn id="2" name=" RESULT FOR SALARY COLUMN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4"/>
  <sheetViews>
    <sheetView tabSelected="1" topLeftCell="E6" workbookViewId="0">
      <selection activeCell="M12" sqref="M12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9" customWidth="1"/>
    <col min="6" max="6" width="22.08984375" style="8" customWidth="1"/>
    <col min="7" max="7" width="11.54296875" customWidth="1"/>
    <col min="8" max="8" width="20.6328125" bestFit="1" customWidth="1"/>
    <col min="10" max="10" width="28.90625" bestFit="1" customWidth="1"/>
    <col min="11" max="11" width="20.36328125" customWidth="1"/>
  </cols>
  <sheetData>
    <row r="1" spans="1:12" s="6" customFormat="1" ht="15.5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</row>
    <row r="2" spans="1:12" ht="13" customHeight="1" x14ac:dyDescent="0.35">
      <c r="A2" t="s">
        <v>10</v>
      </c>
      <c r="C2" t="s">
        <v>11</v>
      </c>
      <c r="D2" t="s">
        <v>12</v>
      </c>
      <c r="E2" s="7" t="s">
        <v>13</v>
      </c>
      <c r="F2" s="8">
        <v>2</v>
      </c>
      <c r="G2" t="s">
        <v>14</v>
      </c>
      <c r="H2" t="s">
        <v>15</v>
      </c>
    </row>
    <row r="3" spans="1:12" ht="15" thickBot="1" x14ac:dyDescent="0.4">
      <c r="A3" t="s">
        <v>16</v>
      </c>
      <c r="B3" t="s">
        <v>17</v>
      </c>
      <c r="C3" t="s">
        <v>18</v>
      </c>
      <c r="D3" t="s">
        <v>19</v>
      </c>
      <c r="E3" s="9">
        <v>54255</v>
      </c>
      <c r="F3" s="8">
        <v>1</v>
      </c>
      <c r="G3" t="s">
        <v>20</v>
      </c>
      <c r="H3" t="s">
        <v>21</v>
      </c>
      <c r="J3" s="10" t="s">
        <v>22</v>
      </c>
      <c r="K3" s="11" t="s">
        <v>23</v>
      </c>
    </row>
    <row r="4" spans="1:12" x14ac:dyDescent="0.35">
      <c r="A4" t="s">
        <v>24</v>
      </c>
      <c r="B4" t="s">
        <v>25</v>
      </c>
      <c r="C4" t="s">
        <v>11</v>
      </c>
      <c r="D4" t="s">
        <v>19</v>
      </c>
      <c r="E4" s="9">
        <v>63184</v>
      </c>
      <c r="F4" s="8">
        <v>2</v>
      </c>
      <c r="H4" t="s">
        <v>26</v>
      </c>
      <c r="J4" s="12"/>
      <c r="K4" s="13"/>
      <c r="L4" s="14"/>
    </row>
    <row r="5" spans="1:12" x14ac:dyDescent="0.35">
      <c r="A5" t="s">
        <v>27</v>
      </c>
      <c r="B5" t="s">
        <v>28</v>
      </c>
      <c r="C5" t="s">
        <v>29</v>
      </c>
      <c r="D5" t="s">
        <v>30</v>
      </c>
      <c r="E5" s="9">
        <v>94406</v>
      </c>
      <c r="F5" s="8">
        <v>1</v>
      </c>
      <c r="G5" t="s">
        <v>31</v>
      </c>
      <c r="H5" t="s">
        <v>32</v>
      </c>
      <c r="J5" s="15" t="s">
        <v>33</v>
      </c>
      <c r="K5" s="16">
        <v>9340866</v>
      </c>
    </row>
    <row r="6" spans="1:12" x14ac:dyDescent="0.35">
      <c r="A6" t="s">
        <v>34</v>
      </c>
      <c r="B6" t="s">
        <v>35</v>
      </c>
      <c r="C6" t="s">
        <v>29</v>
      </c>
      <c r="D6" t="s">
        <v>19</v>
      </c>
      <c r="E6" s="9">
        <v>64120</v>
      </c>
      <c r="F6" s="8">
        <v>1</v>
      </c>
      <c r="G6" t="s">
        <v>31</v>
      </c>
      <c r="H6" t="s">
        <v>36</v>
      </c>
      <c r="J6" s="15" t="s">
        <v>37</v>
      </c>
      <c r="K6" s="16">
        <v>98475</v>
      </c>
    </row>
    <row r="7" spans="1:12" x14ac:dyDescent="0.35">
      <c r="A7" t="s">
        <v>38</v>
      </c>
      <c r="B7" t="s">
        <v>25</v>
      </c>
      <c r="C7" t="s">
        <v>39</v>
      </c>
      <c r="D7" t="s">
        <v>40</v>
      </c>
      <c r="E7" s="9">
        <v>78421</v>
      </c>
      <c r="F7" s="8">
        <v>2</v>
      </c>
      <c r="G7" t="s">
        <v>41</v>
      </c>
      <c r="H7" t="s">
        <v>42</v>
      </c>
      <c r="J7" s="15" t="s">
        <v>43</v>
      </c>
      <c r="K7" s="16">
        <v>30280</v>
      </c>
    </row>
    <row r="8" spans="1:12" x14ac:dyDescent="0.35">
      <c r="A8" t="s">
        <v>44</v>
      </c>
      <c r="B8" t="s">
        <v>45</v>
      </c>
      <c r="C8" t="s">
        <v>29</v>
      </c>
      <c r="E8" s="9">
        <v>67721</v>
      </c>
      <c r="G8" t="s">
        <v>31</v>
      </c>
      <c r="H8" t="s">
        <v>32</v>
      </c>
      <c r="J8" s="15" t="s">
        <v>46</v>
      </c>
      <c r="K8" s="16">
        <v>99621</v>
      </c>
    </row>
    <row r="9" spans="1:12" x14ac:dyDescent="0.35">
      <c r="A9" t="s">
        <v>47</v>
      </c>
      <c r="B9" t="s">
        <v>48</v>
      </c>
      <c r="C9" t="s">
        <v>49</v>
      </c>
      <c r="E9" s="9">
        <v>35364</v>
      </c>
      <c r="F9" s="8">
        <v>2</v>
      </c>
      <c r="G9" t="s">
        <v>20</v>
      </c>
      <c r="H9" t="s">
        <v>50</v>
      </c>
      <c r="J9" s="17" t="s">
        <v>51</v>
      </c>
      <c r="K9" s="18">
        <v>149</v>
      </c>
    </row>
    <row r="10" spans="1:12" x14ac:dyDescent="0.35">
      <c r="A10" t="s">
        <v>52</v>
      </c>
      <c r="B10" t="s">
        <v>25</v>
      </c>
      <c r="C10" t="s">
        <v>39</v>
      </c>
      <c r="D10" t="s">
        <v>19</v>
      </c>
      <c r="E10" s="9">
        <v>97881</v>
      </c>
      <c r="G10" t="s">
        <v>41</v>
      </c>
      <c r="H10" t="s">
        <v>53</v>
      </c>
      <c r="J10" s="19"/>
    </row>
    <row r="11" spans="1:12" x14ac:dyDescent="0.35">
      <c r="A11" t="s">
        <v>54</v>
      </c>
      <c r="B11" t="s">
        <v>48</v>
      </c>
      <c r="C11" t="s">
        <v>18</v>
      </c>
      <c r="D11" t="s">
        <v>55</v>
      </c>
      <c r="E11" s="9">
        <v>91846</v>
      </c>
      <c r="G11" t="s">
        <v>31</v>
      </c>
      <c r="H11" t="s">
        <v>56</v>
      </c>
      <c r="J11" s="20" t="s">
        <v>57</v>
      </c>
    </row>
    <row r="12" spans="1:12" ht="15" thickBot="1" x14ac:dyDescent="0.4">
      <c r="A12" t="s">
        <v>58</v>
      </c>
      <c r="B12" t="s">
        <v>45</v>
      </c>
      <c r="C12" t="s">
        <v>11</v>
      </c>
      <c r="D12" t="s">
        <v>55</v>
      </c>
      <c r="E12" s="9">
        <v>64247</v>
      </c>
      <c r="F12" s="8">
        <v>1</v>
      </c>
      <c r="G12" t="s">
        <v>41</v>
      </c>
      <c r="H12" t="s">
        <v>59</v>
      </c>
    </row>
    <row r="13" spans="1:12" ht="15" thickBot="1" x14ac:dyDescent="0.4">
      <c r="A13" t="s">
        <v>60</v>
      </c>
      <c r="B13" t="s">
        <v>45</v>
      </c>
      <c r="C13" t="s">
        <v>39</v>
      </c>
      <c r="D13" t="s">
        <v>30</v>
      </c>
      <c r="E13" s="9">
        <v>91180</v>
      </c>
      <c r="F13" s="8">
        <v>5</v>
      </c>
      <c r="G13" t="s">
        <v>31</v>
      </c>
      <c r="H13" t="s">
        <v>61</v>
      </c>
      <c r="I13">
        <v>1</v>
      </c>
      <c r="J13" s="21" t="s">
        <v>62</v>
      </c>
      <c r="K13" s="21" t="s">
        <v>306</v>
      </c>
    </row>
    <row r="14" spans="1:12" x14ac:dyDescent="0.35">
      <c r="A14" t="s">
        <v>63</v>
      </c>
      <c r="B14" t="s">
        <v>64</v>
      </c>
      <c r="C14" t="s">
        <v>29</v>
      </c>
      <c r="E14" s="9">
        <v>96418</v>
      </c>
      <c r="F14" s="8">
        <v>5</v>
      </c>
      <c r="G14" t="s">
        <v>31</v>
      </c>
      <c r="H14" t="s">
        <v>21</v>
      </c>
      <c r="J14" t="s">
        <v>65</v>
      </c>
      <c r="K14">
        <v>1774594</v>
      </c>
    </row>
    <row r="15" spans="1:12" x14ac:dyDescent="0.35">
      <c r="A15" t="s">
        <v>66</v>
      </c>
      <c r="B15" t="s">
        <v>45</v>
      </c>
      <c r="D15" t="s">
        <v>40</v>
      </c>
      <c r="E15" s="9">
        <v>62158</v>
      </c>
      <c r="F15" s="8">
        <v>4</v>
      </c>
      <c r="H15" t="s">
        <v>67</v>
      </c>
      <c r="J15" t="s">
        <v>68</v>
      </c>
      <c r="K15">
        <f>SUMIF(D3:D151,"Germany",E3:E151)</f>
        <v>1449741</v>
      </c>
    </row>
    <row r="16" spans="1:12" x14ac:dyDescent="0.35">
      <c r="A16" t="s">
        <v>69</v>
      </c>
      <c r="B16" t="s">
        <v>35</v>
      </c>
      <c r="C16" t="s">
        <v>18</v>
      </c>
      <c r="E16" s="9">
        <v>59894</v>
      </c>
      <c r="F16" s="8">
        <v>2</v>
      </c>
      <c r="G16" t="s">
        <v>31</v>
      </c>
      <c r="H16" t="s">
        <v>70</v>
      </c>
      <c r="J16" t="s">
        <v>71</v>
      </c>
      <c r="K16">
        <f>SUMIF(D2:D151,"UK",E2:E151)</f>
        <v>1487345</v>
      </c>
    </row>
    <row r="17" spans="1:11" ht="15" thickBot="1" x14ac:dyDescent="0.4">
      <c r="A17" t="s">
        <v>72</v>
      </c>
      <c r="C17" t="s">
        <v>39</v>
      </c>
      <c r="D17" t="s">
        <v>40</v>
      </c>
      <c r="E17" s="9">
        <v>92443</v>
      </c>
      <c r="F17" s="8">
        <v>3</v>
      </c>
      <c r="G17" t="s">
        <v>20</v>
      </c>
      <c r="H17" t="s">
        <v>73</v>
      </c>
    </row>
    <row r="18" spans="1:11" ht="15" thickBot="1" x14ac:dyDescent="0.4">
      <c r="A18" t="s">
        <v>74</v>
      </c>
      <c r="B18" t="s">
        <v>64</v>
      </c>
      <c r="D18" t="s">
        <v>19</v>
      </c>
      <c r="E18" s="9">
        <v>90271</v>
      </c>
      <c r="H18" t="s">
        <v>75</v>
      </c>
      <c r="I18">
        <v>2</v>
      </c>
      <c r="J18" s="21" t="s">
        <v>76</v>
      </c>
      <c r="K18" s="21" t="s">
        <v>306</v>
      </c>
    </row>
    <row r="19" spans="1:11" x14ac:dyDescent="0.35">
      <c r="A19" t="s">
        <v>77</v>
      </c>
      <c r="B19" t="s">
        <v>35</v>
      </c>
      <c r="C19" t="s">
        <v>11</v>
      </c>
      <c r="D19" t="s">
        <v>78</v>
      </c>
      <c r="E19" s="9">
        <v>41341</v>
      </c>
      <c r="F19" s="8">
        <v>1</v>
      </c>
      <c r="G19" t="s">
        <v>20</v>
      </c>
      <c r="H19" t="s">
        <v>79</v>
      </c>
      <c r="J19" t="s">
        <v>80</v>
      </c>
      <c r="K19">
        <f ca="1">AVERAGEIF(G1:G151,"Male",E2:E151)</f>
        <v>67637.06451612903</v>
      </c>
    </row>
    <row r="20" spans="1:11" x14ac:dyDescent="0.35">
      <c r="A20" t="s">
        <v>81</v>
      </c>
      <c r="B20" t="s">
        <v>25</v>
      </c>
      <c r="C20" t="s">
        <v>11</v>
      </c>
      <c r="D20" t="s">
        <v>55</v>
      </c>
      <c r="E20" s="9">
        <v>73602</v>
      </c>
      <c r="H20" t="s">
        <v>82</v>
      </c>
      <c r="J20" t="s">
        <v>83</v>
      </c>
      <c r="K20">
        <f>AVERAGEIF(G2:G151,"Female",E2:E151)</f>
        <v>63132.36363636364</v>
      </c>
    </row>
    <row r="21" spans="1:11" x14ac:dyDescent="0.35">
      <c r="A21" t="s">
        <v>84</v>
      </c>
      <c r="B21" t="s">
        <v>17</v>
      </c>
      <c r="D21" t="s">
        <v>40</v>
      </c>
      <c r="E21" s="9">
        <v>67531</v>
      </c>
      <c r="F21" s="8">
        <v>5</v>
      </c>
      <c r="G21" t="s">
        <v>41</v>
      </c>
      <c r="H21" t="s">
        <v>85</v>
      </c>
      <c r="J21" t="s">
        <v>86</v>
      </c>
      <c r="K21">
        <f>AVERAGEIF(G2:G151,"Other",E2:E151)</f>
        <v>68424.870967741939</v>
      </c>
    </row>
    <row r="22" spans="1:11" ht="15" thickBot="1" x14ac:dyDescent="0.4">
      <c r="A22" t="s">
        <v>87</v>
      </c>
      <c r="B22" t="s">
        <v>35</v>
      </c>
      <c r="C22" t="s">
        <v>18</v>
      </c>
      <c r="D22" t="s">
        <v>30</v>
      </c>
      <c r="E22" s="22" t="s">
        <v>13</v>
      </c>
      <c r="F22" s="8">
        <v>2</v>
      </c>
      <c r="G22" t="s">
        <v>20</v>
      </c>
      <c r="H22" t="s">
        <v>88</v>
      </c>
    </row>
    <row r="23" spans="1:11" ht="15" thickBot="1" x14ac:dyDescent="0.4">
      <c r="A23" t="s">
        <v>89</v>
      </c>
      <c r="B23" t="s">
        <v>35</v>
      </c>
      <c r="C23" t="s">
        <v>18</v>
      </c>
      <c r="E23" s="9">
        <v>98922</v>
      </c>
      <c r="F23" s="8">
        <v>4</v>
      </c>
      <c r="H23" t="s">
        <v>90</v>
      </c>
      <c r="I23">
        <v>3</v>
      </c>
      <c r="J23" s="21" t="s">
        <v>91</v>
      </c>
      <c r="K23" s="21" t="s">
        <v>306</v>
      </c>
    </row>
    <row r="24" spans="1:11" x14ac:dyDescent="0.35">
      <c r="A24" t="s">
        <v>92</v>
      </c>
      <c r="B24" t="s">
        <v>17</v>
      </c>
      <c r="C24" t="s">
        <v>11</v>
      </c>
      <c r="D24" t="s">
        <v>40</v>
      </c>
      <c r="E24" s="9">
        <v>38333</v>
      </c>
      <c r="F24" s="8">
        <v>5</v>
      </c>
      <c r="H24" t="s">
        <v>93</v>
      </c>
      <c r="J24" t="s">
        <v>94</v>
      </c>
      <c r="K24">
        <f>COUNTIF(C2:C151,"HR")</f>
        <v>24</v>
      </c>
    </row>
    <row r="25" spans="1:11" x14ac:dyDescent="0.35">
      <c r="A25" t="s">
        <v>95</v>
      </c>
      <c r="B25" t="s">
        <v>25</v>
      </c>
      <c r="C25" t="s">
        <v>49</v>
      </c>
      <c r="D25" t="s">
        <v>55</v>
      </c>
      <c r="E25" s="9">
        <v>36515</v>
      </c>
      <c r="F25" s="8">
        <v>3</v>
      </c>
      <c r="G25" t="s">
        <v>31</v>
      </c>
      <c r="H25" t="s">
        <v>96</v>
      </c>
      <c r="J25" t="s">
        <v>97</v>
      </c>
      <c r="K25">
        <f>COUNTIF(C2:C151,"IT")</f>
        <v>25</v>
      </c>
    </row>
    <row r="26" spans="1:11" x14ac:dyDescent="0.35">
      <c r="A26" t="s">
        <v>98</v>
      </c>
      <c r="B26" t="s">
        <v>45</v>
      </c>
      <c r="C26" t="s">
        <v>11</v>
      </c>
      <c r="E26" s="9">
        <v>91005</v>
      </c>
      <c r="F26" s="8">
        <v>1</v>
      </c>
      <c r="G26" t="s">
        <v>20</v>
      </c>
      <c r="H26" t="s">
        <v>99</v>
      </c>
      <c r="J26" t="s">
        <v>100</v>
      </c>
      <c r="K26">
        <f>COUNTIF(C2:C151,"Sales")</f>
        <v>26</v>
      </c>
    </row>
    <row r="27" spans="1:11" ht="15" thickBot="1" x14ac:dyDescent="0.4">
      <c r="A27" t="s">
        <v>101</v>
      </c>
      <c r="B27" t="s">
        <v>48</v>
      </c>
      <c r="D27" t="s">
        <v>12</v>
      </c>
      <c r="E27" s="9">
        <v>52272</v>
      </c>
      <c r="F27" s="8">
        <v>3</v>
      </c>
      <c r="H27" t="s">
        <v>102</v>
      </c>
    </row>
    <row r="28" spans="1:11" ht="15" thickBot="1" x14ac:dyDescent="0.4">
      <c r="A28" t="s">
        <v>103</v>
      </c>
      <c r="B28" t="s">
        <v>17</v>
      </c>
      <c r="C28" t="s">
        <v>29</v>
      </c>
      <c r="D28" t="s">
        <v>19</v>
      </c>
      <c r="E28" s="9">
        <v>76518</v>
      </c>
      <c r="F28" s="8">
        <v>2</v>
      </c>
      <c r="G28" t="s">
        <v>41</v>
      </c>
      <c r="H28" t="s">
        <v>104</v>
      </c>
      <c r="I28">
        <v>4</v>
      </c>
      <c r="J28" s="21" t="s">
        <v>105</v>
      </c>
    </row>
    <row r="29" spans="1:11" x14ac:dyDescent="0.35">
      <c r="A29" t="s">
        <v>106</v>
      </c>
      <c r="B29" t="s">
        <v>25</v>
      </c>
      <c r="C29" t="s">
        <v>39</v>
      </c>
      <c r="D29" t="s">
        <v>55</v>
      </c>
      <c r="E29" s="9">
        <v>41448</v>
      </c>
      <c r="F29" s="8">
        <v>3</v>
      </c>
      <c r="G29" t="s">
        <v>20</v>
      </c>
      <c r="H29" t="s">
        <v>107</v>
      </c>
      <c r="J29" t="s">
        <v>108</v>
      </c>
      <c r="K29" s="23" t="str">
        <f>IF(E14&gt;90000,"RICH","MEDIUM")</f>
        <v>RICH</v>
      </c>
    </row>
    <row r="30" spans="1:11" x14ac:dyDescent="0.35">
      <c r="A30" t="s">
        <v>109</v>
      </c>
      <c r="B30" t="s">
        <v>28</v>
      </c>
      <c r="C30" t="s">
        <v>18</v>
      </c>
      <c r="D30" t="s">
        <v>55</v>
      </c>
      <c r="E30" s="9">
        <v>49282</v>
      </c>
      <c r="F30" s="8">
        <v>2</v>
      </c>
      <c r="G30" t="s">
        <v>41</v>
      </c>
      <c r="H30" t="s">
        <v>110</v>
      </c>
      <c r="J30" t="s">
        <v>111</v>
      </c>
      <c r="K30" s="23" t="str">
        <f>IF(E12&gt;90000,"RICH",IF(E12&gt;50000,"MEDIUM","POOR"))</f>
        <v>MEDIUM</v>
      </c>
    </row>
    <row r="31" spans="1:11" x14ac:dyDescent="0.35">
      <c r="A31" t="s">
        <v>112</v>
      </c>
      <c r="B31" t="s">
        <v>64</v>
      </c>
      <c r="C31" t="s">
        <v>49</v>
      </c>
      <c r="D31" t="s">
        <v>55</v>
      </c>
      <c r="E31" s="9">
        <v>92959</v>
      </c>
      <c r="F31" s="8">
        <v>5</v>
      </c>
      <c r="H31" t="s">
        <v>113</v>
      </c>
      <c r="J31" t="s">
        <v>114</v>
      </c>
      <c r="K31" s="23" t="str">
        <f>IF(E9&gt;20000,"POOR",IF(E9&gt;50000,"MEDIUM","RICH"))</f>
        <v>POOR</v>
      </c>
    </row>
    <row r="32" spans="1:11" x14ac:dyDescent="0.35">
      <c r="A32" t="s">
        <v>115</v>
      </c>
      <c r="C32" t="s">
        <v>49</v>
      </c>
      <c r="E32" s="9">
        <v>92259</v>
      </c>
      <c r="F32" s="8">
        <v>1</v>
      </c>
      <c r="G32" t="s">
        <v>14</v>
      </c>
      <c r="H32" t="s">
        <v>116</v>
      </c>
    </row>
    <row r="33" spans="1:8" x14ac:dyDescent="0.35">
      <c r="A33" t="s">
        <v>117</v>
      </c>
      <c r="B33" t="s">
        <v>17</v>
      </c>
      <c r="C33" t="s">
        <v>18</v>
      </c>
      <c r="D33" t="s">
        <v>19</v>
      </c>
      <c r="E33" s="9">
        <v>92299</v>
      </c>
      <c r="F33" s="8">
        <v>3</v>
      </c>
      <c r="G33" t="s">
        <v>31</v>
      </c>
      <c r="H33" t="s">
        <v>118</v>
      </c>
    </row>
    <row r="34" spans="1:8" x14ac:dyDescent="0.35">
      <c r="A34" t="s">
        <v>119</v>
      </c>
      <c r="B34" t="s">
        <v>45</v>
      </c>
      <c r="C34" t="s">
        <v>18</v>
      </c>
      <c r="E34" s="9">
        <v>95586</v>
      </c>
      <c r="F34" s="8">
        <v>3</v>
      </c>
      <c r="G34" t="s">
        <v>20</v>
      </c>
      <c r="H34" t="s">
        <v>120</v>
      </c>
    </row>
    <row r="35" spans="1:8" x14ac:dyDescent="0.35">
      <c r="A35" t="s">
        <v>121</v>
      </c>
      <c r="B35" t="s">
        <v>48</v>
      </c>
      <c r="D35" t="s">
        <v>30</v>
      </c>
      <c r="E35" s="9">
        <v>95367</v>
      </c>
      <c r="G35" t="s">
        <v>31</v>
      </c>
      <c r="H35" t="s">
        <v>122</v>
      </c>
    </row>
    <row r="36" spans="1:8" x14ac:dyDescent="0.35">
      <c r="A36" t="s">
        <v>123</v>
      </c>
      <c r="B36" t="s">
        <v>28</v>
      </c>
      <c r="C36" t="s">
        <v>29</v>
      </c>
      <c r="D36" t="s">
        <v>78</v>
      </c>
      <c r="E36" s="9">
        <v>79549</v>
      </c>
      <c r="F36" s="8">
        <v>3</v>
      </c>
      <c r="H36" t="s">
        <v>124</v>
      </c>
    </row>
    <row r="37" spans="1:8" x14ac:dyDescent="0.35">
      <c r="A37" t="s">
        <v>125</v>
      </c>
      <c r="B37" t="s">
        <v>25</v>
      </c>
      <c r="D37" t="s">
        <v>55</v>
      </c>
      <c r="E37" s="9">
        <v>54463</v>
      </c>
      <c r="F37" s="8">
        <v>4</v>
      </c>
      <c r="G37" t="s">
        <v>31</v>
      </c>
      <c r="H37" t="s">
        <v>15</v>
      </c>
    </row>
    <row r="38" spans="1:8" x14ac:dyDescent="0.35">
      <c r="A38" t="s">
        <v>126</v>
      </c>
      <c r="B38" t="s">
        <v>25</v>
      </c>
      <c r="C38" t="s">
        <v>39</v>
      </c>
      <c r="D38" t="s">
        <v>30</v>
      </c>
      <c r="E38" s="9">
        <v>89781</v>
      </c>
      <c r="G38" t="s">
        <v>41</v>
      </c>
      <c r="H38" t="s">
        <v>127</v>
      </c>
    </row>
    <row r="39" spans="1:8" x14ac:dyDescent="0.35">
      <c r="A39" t="s">
        <v>128</v>
      </c>
      <c r="B39" t="s">
        <v>25</v>
      </c>
      <c r="C39" t="s">
        <v>18</v>
      </c>
      <c r="E39" s="9">
        <v>64796</v>
      </c>
      <c r="G39" t="s">
        <v>20</v>
      </c>
      <c r="H39" t="s">
        <v>129</v>
      </c>
    </row>
    <row r="40" spans="1:8" x14ac:dyDescent="0.35">
      <c r="A40" t="s">
        <v>130</v>
      </c>
      <c r="B40" t="s">
        <v>28</v>
      </c>
      <c r="C40" t="s">
        <v>49</v>
      </c>
      <c r="D40" t="s">
        <v>55</v>
      </c>
      <c r="E40" s="9">
        <v>52093</v>
      </c>
      <c r="F40" s="8">
        <v>5</v>
      </c>
      <c r="H40" t="s">
        <v>131</v>
      </c>
    </row>
    <row r="41" spans="1:8" x14ac:dyDescent="0.35">
      <c r="A41" t="s">
        <v>132</v>
      </c>
      <c r="B41" t="s">
        <v>48</v>
      </c>
      <c r="C41" t="s">
        <v>18</v>
      </c>
      <c r="D41" t="s">
        <v>55</v>
      </c>
      <c r="E41" s="9">
        <v>48224</v>
      </c>
      <c r="F41" s="8">
        <v>3</v>
      </c>
      <c r="H41" t="s">
        <v>133</v>
      </c>
    </row>
    <row r="42" spans="1:8" x14ac:dyDescent="0.35">
      <c r="A42" t="s">
        <v>134</v>
      </c>
      <c r="B42" t="s">
        <v>64</v>
      </c>
      <c r="C42" t="s">
        <v>11</v>
      </c>
      <c r="D42" t="s">
        <v>55</v>
      </c>
      <c r="E42" s="22" t="s">
        <v>13</v>
      </c>
      <c r="F42" s="8">
        <v>4</v>
      </c>
      <c r="G42" t="s">
        <v>41</v>
      </c>
      <c r="H42" t="s">
        <v>135</v>
      </c>
    </row>
    <row r="43" spans="1:8" x14ac:dyDescent="0.35">
      <c r="A43" t="s">
        <v>136</v>
      </c>
      <c r="B43" t="s">
        <v>25</v>
      </c>
      <c r="C43" t="s">
        <v>39</v>
      </c>
      <c r="D43" t="s">
        <v>19</v>
      </c>
      <c r="E43" s="9">
        <v>33956</v>
      </c>
      <c r="H43" t="s">
        <v>137</v>
      </c>
    </row>
    <row r="44" spans="1:8" x14ac:dyDescent="0.35">
      <c r="A44" t="s">
        <v>138</v>
      </c>
      <c r="B44" t="s">
        <v>64</v>
      </c>
      <c r="D44" t="s">
        <v>78</v>
      </c>
      <c r="E44" s="9">
        <v>64913</v>
      </c>
      <c r="F44" s="8">
        <v>1</v>
      </c>
      <c r="G44" t="s">
        <v>41</v>
      </c>
      <c r="H44" t="s">
        <v>139</v>
      </c>
    </row>
    <row r="45" spans="1:8" x14ac:dyDescent="0.35">
      <c r="A45" t="s">
        <v>140</v>
      </c>
      <c r="B45" t="s">
        <v>25</v>
      </c>
      <c r="C45" t="s">
        <v>49</v>
      </c>
      <c r="D45" t="s">
        <v>78</v>
      </c>
      <c r="E45" s="9">
        <v>35326</v>
      </c>
      <c r="G45" t="s">
        <v>41</v>
      </c>
      <c r="H45" t="s">
        <v>141</v>
      </c>
    </row>
    <row r="46" spans="1:8" x14ac:dyDescent="0.35">
      <c r="A46" t="s">
        <v>142</v>
      </c>
      <c r="B46" t="s">
        <v>48</v>
      </c>
      <c r="C46" t="s">
        <v>11</v>
      </c>
      <c r="E46" s="9">
        <v>81610</v>
      </c>
      <c r="F46" s="8">
        <v>1</v>
      </c>
      <c r="H46" t="s">
        <v>143</v>
      </c>
    </row>
    <row r="47" spans="1:8" x14ac:dyDescent="0.35">
      <c r="A47" t="s">
        <v>144</v>
      </c>
      <c r="C47" t="s">
        <v>18</v>
      </c>
      <c r="E47" s="9">
        <v>58962</v>
      </c>
      <c r="F47" s="8">
        <v>3</v>
      </c>
      <c r="G47" t="s">
        <v>20</v>
      </c>
      <c r="H47" t="s">
        <v>21</v>
      </c>
    </row>
    <row r="48" spans="1:8" x14ac:dyDescent="0.35">
      <c r="A48" t="s">
        <v>145</v>
      </c>
      <c r="B48" t="s">
        <v>48</v>
      </c>
      <c r="C48" t="s">
        <v>39</v>
      </c>
      <c r="D48" t="s">
        <v>19</v>
      </c>
      <c r="E48" s="9">
        <v>92701</v>
      </c>
      <c r="F48" s="8">
        <v>3</v>
      </c>
      <c r="G48" t="s">
        <v>20</v>
      </c>
      <c r="H48" t="s">
        <v>146</v>
      </c>
    </row>
    <row r="49" spans="1:8" x14ac:dyDescent="0.35">
      <c r="A49" t="s">
        <v>147</v>
      </c>
      <c r="B49" t="s">
        <v>48</v>
      </c>
      <c r="C49" t="s">
        <v>18</v>
      </c>
      <c r="D49" t="s">
        <v>40</v>
      </c>
      <c r="E49" s="9">
        <v>58245</v>
      </c>
      <c r="F49" s="8">
        <v>4</v>
      </c>
      <c r="H49" t="s">
        <v>148</v>
      </c>
    </row>
    <row r="50" spans="1:8" x14ac:dyDescent="0.35">
      <c r="A50" t="s">
        <v>149</v>
      </c>
      <c r="B50" t="s">
        <v>28</v>
      </c>
      <c r="C50" t="s">
        <v>11</v>
      </c>
      <c r="E50" s="9">
        <v>66513</v>
      </c>
      <c r="F50" s="8">
        <v>2</v>
      </c>
      <c r="G50" t="s">
        <v>20</v>
      </c>
      <c r="H50" t="s">
        <v>42</v>
      </c>
    </row>
    <row r="51" spans="1:8" x14ac:dyDescent="0.35">
      <c r="A51" t="s">
        <v>150</v>
      </c>
      <c r="B51" t="s">
        <v>17</v>
      </c>
      <c r="C51" t="s">
        <v>18</v>
      </c>
      <c r="D51" t="s">
        <v>19</v>
      </c>
      <c r="E51" s="9">
        <v>78720</v>
      </c>
      <c r="F51" s="8">
        <v>5</v>
      </c>
      <c r="G51" t="s">
        <v>41</v>
      </c>
      <c r="H51" t="s">
        <v>135</v>
      </c>
    </row>
    <row r="52" spans="1:8" x14ac:dyDescent="0.35">
      <c r="A52" t="s">
        <v>151</v>
      </c>
      <c r="B52" t="s">
        <v>48</v>
      </c>
      <c r="D52" t="s">
        <v>12</v>
      </c>
      <c r="E52" s="9">
        <v>30686</v>
      </c>
      <c r="F52" s="8">
        <v>2</v>
      </c>
      <c r="G52" t="s">
        <v>41</v>
      </c>
      <c r="H52" t="s">
        <v>152</v>
      </c>
    </row>
    <row r="53" spans="1:8" x14ac:dyDescent="0.35">
      <c r="A53" t="s">
        <v>153</v>
      </c>
      <c r="B53" t="s">
        <v>45</v>
      </c>
      <c r="C53" t="s">
        <v>29</v>
      </c>
      <c r="D53" t="s">
        <v>40</v>
      </c>
      <c r="E53" s="9">
        <v>39423</v>
      </c>
      <c r="F53" s="8">
        <v>5</v>
      </c>
      <c r="H53" t="s">
        <v>154</v>
      </c>
    </row>
    <row r="54" spans="1:8" x14ac:dyDescent="0.35">
      <c r="A54" t="s">
        <v>155</v>
      </c>
      <c r="B54" t="s">
        <v>17</v>
      </c>
      <c r="C54" t="s">
        <v>49</v>
      </c>
      <c r="E54" s="9">
        <v>30280</v>
      </c>
      <c r="F54" s="8">
        <v>1</v>
      </c>
      <c r="H54" t="s">
        <v>156</v>
      </c>
    </row>
    <row r="55" spans="1:8" x14ac:dyDescent="0.35">
      <c r="A55" t="s">
        <v>157</v>
      </c>
      <c r="B55" t="s">
        <v>17</v>
      </c>
      <c r="C55" t="s">
        <v>11</v>
      </c>
      <c r="D55" t="s">
        <v>55</v>
      </c>
      <c r="E55" s="9">
        <v>33352</v>
      </c>
      <c r="F55" s="8">
        <v>3</v>
      </c>
      <c r="G55" t="s">
        <v>41</v>
      </c>
      <c r="H55" t="s">
        <v>88</v>
      </c>
    </row>
    <row r="56" spans="1:8" x14ac:dyDescent="0.35">
      <c r="A56" t="s">
        <v>158</v>
      </c>
      <c r="B56" t="s">
        <v>64</v>
      </c>
      <c r="C56" t="s">
        <v>49</v>
      </c>
      <c r="D56" t="s">
        <v>55</v>
      </c>
      <c r="E56" s="9">
        <v>75633</v>
      </c>
      <c r="F56" s="8">
        <v>5</v>
      </c>
      <c r="G56" t="s">
        <v>20</v>
      </c>
      <c r="H56" t="s">
        <v>159</v>
      </c>
    </row>
    <row r="57" spans="1:8" x14ac:dyDescent="0.35">
      <c r="A57" t="s">
        <v>160</v>
      </c>
      <c r="B57" t="s">
        <v>48</v>
      </c>
      <c r="D57" t="s">
        <v>30</v>
      </c>
      <c r="E57" s="9">
        <v>74815</v>
      </c>
      <c r="F57" s="8">
        <v>5</v>
      </c>
      <c r="G57" t="s">
        <v>41</v>
      </c>
      <c r="H57" t="s">
        <v>161</v>
      </c>
    </row>
    <row r="58" spans="1:8" x14ac:dyDescent="0.35">
      <c r="A58" t="s">
        <v>162</v>
      </c>
      <c r="B58" t="s">
        <v>28</v>
      </c>
      <c r="C58" t="s">
        <v>29</v>
      </c>
      <c r="D58" t="s">
        <v>78</v>
      </c>
      <c r="E58" s="9">
        <v>60011</v>
      </c>
      <c r="F58" s="8">
        <v>1</v>
      </c>
      <c r="G58" t="s">
        <v>31</v>
      </c>
      <c r="H58" t="s">
        <v>163</v>
      </c>
    </row>
    <row r="59" spans="1:8" x14ac:dyDescent="0.35">
      <c r="A59" t="s">
        <v>164</v>
      </c>
      <c r="B59" t="s">
        <v>17</v>
      </c>
      <c r="D59" t="s">
        <v>40</v>
      </c>
      <c r="E59" s="9">
        <v>96949</v>
      </c>
      <c r="F59" s="8">
        <v>3</v>
      </c>
      <c r="H59" t="s">
        <v>107</v>
      </c>
    </row>
    <row r="60" spans="1:8" x14ac:dyDescent="0.35">
      <c r="A60" t="s">
        <v>165</v>
      </c>
      <c r="B60" t="s">
        <v>45</v>
      </c>
      <c r="C60" t="s">
        <v>49</v>
      </c>
      <c r="E60" s="9">
        <v>84924</v>
      </c>
      <c r="F60" s="8">
        <v>5</v>
      </c>
      <c r="G60" t="s">
        <v>31</v>
      </c>
      <c r="H60" t="s">
        <v>166</v>
      </c>
    </row>
    <row r="61" spans="1:8" x14ac:dyDescent="0.35">
      <c r="A61" t="s">
        <v>167</v>
      </c>
      <c r="B61" t="s">
        <v>45</v>
      </c>
      <c r="C61" t="s">
        <v>11</v>
      </c>
      <c r="D61" t="s">
        <v>30</v>
      </c>
      <c r="E61" s="9">
        <v>82033</v>
      </c>
      <c r="F61" s="8">
        <v>1</v>
      </c>
      <c r="H61" t="s">
        <v>143</v>
      </c>
    </row>
    <row r="62" spans="1:8" x14ac:dyDescent="0.35">
      <c r="A62" t="s">
        <v>168</v>
      </c>
      <c r="C62" t="s">
        <v>49</v>
      </c>
      <c r="D62" t="s">
        <v>19</v>
      </c>
      <c r="E62" s="22" t="s">
        <v>13</v>
      </c>
      <c r="F62" s="8">
        <v>5</v>
      </c>
      <c r="G62" t="s">
        <v>14</v>
      </c>
      <c r="H62" t="s">
        <v>169</v>
      </c>
    </row>
    <row r="63" spans="1:8" x14ac:dyDescent="0.35">
      <c r="A63" t="s">
        <v>170</v>
      </c>
      <c r="B63" t="s">
        <v>17</v>
      </c>
      <c r="D63" t="s">
        <v>78</v>
      </c>
      <c r="E63" s="9">
        <v>31499</v>
      </c>
      <c r="F63" s="8">
        <v>2</v>
      </c>
      <c r="H63" t="s">
        <v>127</v>
      </c>
    </row>
    <row r="64" spans="1:8" x14ac:dyDescent="0.35">
      <c r="A64" t="s">
        <v>171</v>
      </c>
      <c r="B64" t="s">
        <v>48</v>
      </c>
      <c r="C64" t="s">
        <v>39</v>
      </c>
      <c r="D64" t="s">
        <v>55</v>
      </c>
      <c r="E64" s="9">
        <v>97981</v>
      </c>
      <c r="F64" s="8">
        <v>5</v>
      </c>
      <c r="G64" t="s">
        <v>41</v>
      </c>
      <c r="H64" t="s">
        <v>172</v>
      </c>
    </row>
    <row r="65" spans="1:8" x14ac:dyDescent="0.35">
      <c r="A65" t="s">
        <v>173</v>
      </c>
      <c r="B65" t="s">
        <v>17</v>
      </c>
      <c r="C65" t="s">
        <v>18</v>
      </c>
      <c r="D65" t="s">
        <v>30</v>
      </c>
      <c r="E65" s="9">
        <v>36541</v>
      </c>
      <c r="F65" s="8">
        <v>2</v>
      </c>
      <c r="G65" t="s">
        <v>20</v>
      </c>
      <c r="H65" t="s">
        <v>174</v>
      </c>
    </row>
    <row r="66" spans="1:8" x14ac:dyDescent="0.35">
      <c r="A66" t="s">
        <v>175</v>
      </c>
      <c r="B66" t="s">
        <v>28</v>
      </c>
      <c r="C66" t="s">
        <v>39</v>
      </c>
      <c r="D66" t="s">
        <v>40</v>
      </c>
      <c r="E66" s="9">
        <v>84737</v>
      </c>
      <c r="F66" s="8">
        <v>1</v>
      </c>
      <c r="G66" t="s">
        <v>31</v>
      </c>
      <c r="H66" t="s">
        <v>176</v>
      </c>
    </row>
    <row r="67" spans="1:8" x14ac:dyDescent="0.35">
      <c r="A67" t="s">
        <v>177</v>
      </c>
      <c r="B67" t="s">
        <v>45</v>
      </c>
      <c r="C67" t="s">
        <v>11</v>
      </c>
      <c r="D67" t="s">
        <v>40</v>
      </c>
      <c r="E67" s="9">
        <v>33468</v>
      </c>
      <c r="F67" s="8">
        <v>4</v>
      </c>
      <c r="G67" t="s">
        <v>31</v>
      </c>
      <c r="H67" t="s">
        <v>178</v>
      </c>
    </row>
    <row r="68" spans="1:8" x14ac:dyDescent="0.35">
      <c r="A68" t="s">
        <v>179</v>
      </c>
      <c r="B68" t="s">
        <v>45</v>
      </c>
      <c r="D68" t="s">
        <v>78</v>
      </c>
      <c r="E68" s="9">
        <v>96365</v>
      </c>
      <c r="F68" s="8">
        <v>3</v>
      </c>
      <c r="G68" t="s">
        <v>20</v>
      </c>
      <c r="H68" t="s">
        <v>180</v>
      </c>
    </row>
    <row r="69" spans="1:8" x14ac:dyDescent="0.35">
      <c r="A69" t="s">
        <v>181</v>
      </c>
      <c r="B69" t="s">
        <v>25</v>
      </c>
      <c r="C69" t="s">
        <v>29</v>
      </c>
      <c r="D69" t="s">
        <v>40</v>
      </c>
      <c r="E69" s="9">
        <v>61942</v>
      </c>
      <c r="F69" s="8">
        <v>3</v>
      </c>
      <c r="G69" t="s">
        <v>41</v>
      </c>
      <c r="H69" t="s">
        <v>182</v>
      </c>
    </row>
    <row r="70" spans="1:8" x14ac:dyDescent="0.35">
      <c r="A70" t="s">
        <v>183</v>
      </c>
      <c r="B70" t="s">
        <v>45</v>
      </c>
      <c r="C70" t="s">
        <v>11</v>
      </c>
      <c r="D70" t="s">
        <v>55</v>
      </c>
      <c r="E70" s="9">
        <v>41467</v>
      </c>
      <c r="F70" s="8">
        <v>2</v>
      </c>
      <c r="H70" t="s">
        <v>90</v>
      </c>
    </row>
    <row r="71" spans="1:8" x14ac:dyDescent="0.35">
      <c r="A71" t="s">
        <v>184</v>
      </c>
      <c r="B71" t="s">
        <v>64</v>
      </c>
      <c r="C71" t="s">
        <v>11</v>
      </c>
      <c r="D71" t="s">
        <v>40</v>
      </c>
      <c r="E71" s="9">
        <v>77096</v>
      </c>
      <c r="F71" s="8">
        <v>1</v>
      </c>
      <c r="H71" t="s">
        <v>185</v>
      </c>
    </row>
    <row r="72" spans="1:8" x14ac:dyDescent="0.35">
      <c r="A72" t="s">
        <v>186</v>
      </c>
      <c r="B72" t="s">
        <v>17</v>
      </c>
      <c r="C72" t="s">
        <v>29</v>
      </c>
      <c r="D72" t="s">
        <v>78</v>
      </c>
      <c r="E72" s="9">
        <v>69952</v>
      </c>
      <c r="F72" s="8">
        <v>5</v>
      </c>
      <c r="G72" t="s">
        <v>41</v>
      </c>
      <c r="H72" t="s">
        <v>15</v>
      </c>
    </row>
    <row r="73" spans="1:8" x14ac:dyDescent="0.35">
      <c r="A73" t="s">
        <v>187</v>
      </c>
      <c r="B73" t="s">
        <v>17</v>
      </c>
      <c r="C73" t="s">
        <v>49</v>
      </c>
      <c r="D73" t="s">
        <v>30</v>
      </c>
      <c r="E73" s="9">
        <v>85065</v>
      </c>
      <c r="F73" s="8">
        <v>3</v>
      </c>
      <c r="H73" t="s">
        <v>188</v>
      </c>
    </row>
    <row r="74" spans="1:8" x14ac:dyDescent="0.35">
      <c r="A74" t="s">
        <v>189</v>
      </c>
      <c r="B74" t="s">
        <v>64</v>
      </c>
      <c r="C74" t="s">
        <v>49</v>
      </c>
      <c r="D74" t="s">
        <v>40</v>
      </c>
      <c r="E74" s="9">
        <v>56512</v>
      </c>
      <c r="G74" t="s">
        <v>20</v>
      </c>
      <c r="H74" t="s">
        <v>56</v>
      </c>
    </row>
    <row r="75" spans="1:8" x14ac:dyDescent="0.35">
      <c r="A75" t="s">
        <v>190</v>
      </c>
      <c r="B75" t="s">
        <v>28</v>
      </c>
      <c r="C75" t="s">
        <v>29</v>
      </c>
      <c r="D75" t="s">
        <v>40</v>
      </c>
      <c r="E75" s="9">
        <v>91101</v>
      </c>
      <c r="F75" s="8">
        <v>4</v>
      </c>
      <c r="G75" t="s">
        <v>41</v>
      </c>
      <c r="H75" t="s">
        <v>172</v>
      </c>
    </row>
    <row r="76" spans="1:8" x14ac:dyDescent="0.35">
      <c r="A76" t="s">
        <v>191</v>
      </c>
      <c r="B76" t="s">
        <v>45</v>
      </c>
      <c r="D76" t="s">
        <v>19</v>
      </c>
      <c r="E76" s="9">
        <v>41243</v>
      </c>
      <c r="H76" t="s">
        <v>118</v>
      </c>
    </row>
    <row r="77" spans="1:8" x14ac:dyDescent="0.35">
      <c r="A77" t="s">
        <v>192</v>
      </c>
      <c r="C77" t="s">
        <v>29</v>
      </c>
      <c r="D77" t="s">
        <v>12</v>
      </c>
      <c r="E77" s="9">
        <v>96142</v>
      </c>
      <c r="F77" s="8">
        <v>1</v>
      </c>
      <c r="G77" t="s">
        <v>20</v>
      </c>
      <c r="H77" t="s">
        <v>193</v>
      </c>
    </row>
    <row r="78" spans="1:8" x14ac:dyDescent="0.35">
      <c r="A78" t="s">
        <v>194</v>
      </c>
      <c r="B78" t="s">
        <v>17</v>
      </c>
      <c r="C78" t="s">
        <v>39</v>
      </c>
      <c r="D78" t="s">
        <v>40</v>
      </c>
      <c r="E78" s="9">
        <v>94301</v>
      </c>
      <c r="F78" s="8">
        <v>1</v>
      </c>
      <c r="G78" t="s">
        <v>31</v>
      </c>
      <c r="H78" t="s">
        <v>143</v>
      </c>
    </row>
    <row r="79" spans="1:8" x14ac:dyDescent="0.35">
      <c r="A79" t="s">
        <v>195</v>
      </c>
      <c r="B79" t="s">
        <v>35</v>
      </c>
      <c r="D79" t="s">
        <v>55</v>
      </c>
      <c r="E79" s="9">
        <v>69166</v>
      </c>
      <c r="F79" s="8">
        <v>1</v>
      </c>
      <c r="G79" t="s">
        <v>41</v>
      </c>
      <c r="H79" t="s">
        <v>196</v>
      </c>
    </row>
    <row r="80" spans="1:8" x14ac:dyDescent="0.35">
      <c r="A80" t="s">
        <v>197</v>
      </c>
      <c r="B80" t="s">
        <v>45</v>
      </c>
      <c r="D80" t="s">
        <v>55</v>
      </c>
      <c r="E80" s="9">
        <v>78245</v>
      </c>
      <c r="F80" s="8">
        <v>2</v>
      </c>
      <c r="H80" t="s">
        <v>198</v>
      </c>
    </row>
    <row r="81" spans="1:8" x14ac:dyDescent="0.35">
      <c r="A81" t="s">
        <v>199</v>
      </c>
      <c r="B81" t="s">
        <v>48</v>
      </c>
      <c r="C81" t="s">
        <v>29</v>
      </c>
      <c r="D81" t="s">
        <v>30</v>
      </c>
      <c r="E81" s="9">
        <v>66079</v>
      </c>
      <c r="F81" s="8">
        <v>2</v>
      </c>
      <c r="G81" t="s">
        <v>20</v>
      </c>
      <c r="H81" t="s">
        <v>200</v>
      </c>
    </row>
    <row r="82" spans="1:8" x14ac:dyDescent="0.35">
      <c r="A82" t="s">
        <v>201</v>
      </c>
      <c r="B82" t="s">
        <v>17</v>
      </c>
      <c r="C82" t="s">
        <v>49</v>
      </c>
      <c r="D82" t="s">
        <v>40</v>
      </c>
      <c r="E82" s="22" t="s">
        <v>13</v>
      </c>
      <c r="H82" t="s">
        <v>110</v>
      </c>
    </row>
    <row r="83" spans="1:8" x14ac:dyDescent="0.35">
      <c r="A83" t="s">
        <v>202</v>
      </c>
      <c r="B83" t="s">
        <v>35</v>
      </c>
      <c r="C83" t="s">
        <v>29</v>
      </c>
      <c r="D83" t="s">
        <v>30</v>
      </c>
      <c r="E83" s="9">
        <v>95621</v>
      </c>
      <c r="F83" s="8">
        <v>3</v>
      </c>
      <c r="G83" t="s">
        <v>41</v>
      </c>
      <c r="H83" t="s">
        <v>203</v>
      </c>
    </row>
    <row r="84" spans="1:8" x14ac:dyDescent="0.35">
      <c r="A84" t="s">
        <v>204</v>
      </c>
      <c r="B84" t="s">
        <v>17</v>
      </c>
      <c r="C84" t="s">
        <v>39</v>
      </c>
      <c r="D84" t="s">
        <v>55</v>
      </c>
      <c r="E84" s="9">
        <v>42262</v>
      </c>
      <c r="F84" s="8">
        <v>1</v>
      </c>
      <c r="H84" t="s">
        <v>205</v>
      </c>
    </row>
    <row r="85" spans="1:8" x14ac:dyDescent="0.35">
      <c r="A85" t="s">
        <v>206</v>
      </c>
      <c r="B85" t="s">
        <v>45</v>
      </c>
      <c r="C85" t="s">
        <v>29</v>
      </c>
      <c r="D85" t="s">
        <v>40</v>
      </c>
      <c r="E85" s="9">
        <v>99621</v>
      </c>
      <c r="G85" t="s">
        <v>20</v>
      </c>
      <c r="H85" t="s">
        <v>207</v>
      </c>
    </row>
    <row r="86" spans="1:8" x14ac:dyDescent="0.35">
      <c r="A86" t="s">
        <v>208</v>
      </c>
      <c r="B86" t="s">
        <v>28</v>
      </c>
      <c r="C86" t="s">
        <v>49</v>
      </c>
      <c r="D86" t="s">
        <v>40</v>
      </c>
      <c r="E86" s="9">
        <v>44682</v>
      </c>
      <c r="F86" s="8">
        <v>4</v>
      </c>
      <c r="G86" t="s">
        <v>41</v>
      </c>
      <c r="H86" t="s">
        <v>137</v>
      </c>
    </row>
    <row r="87" spans="1:8" x14ac:dyDescent="0.35">
      <c r="A87" t="s">
        <v>209</v>
      </c>
      <c r="B87" t="s">
        <v>48</v>
      </c>
      <c r="C87" t="s">
        <v>11</v>
      </c>
      <c r="E87" s="9">
        <v>35163</v>
      </c>
      <c r="F87" s="8">
        <v>5</v>
      </c>
      <c r="G87" t="s">
        <v>20</v>
      </c>
      <c r="H87" t="s">
        <v>210</v>
      </c>
    </row>
    <row r="88" spans="1:8" x14ac:dyDescent="0.35">
      <c r="A88" t="s">
        <v>211</v>
      </c>
      <c r="B88" t="s">
        <v>48</v>
      </c>
      <c r="C88" t="s">
        <v>39</v>
      </c>
      <c r="D88" t="s">
        <v>40</v>
      </c>
      <c r="E88" s="9">
        <v>33483</v>
      </c>
      <c r="F88" s="8">
        <v>4</v>
      </c>
      <c r="G88" t="s">
        <v>31</v>
      </c>
      <c r="H88" t="s">
        <v>212</v>
      </c>
    </row>
    <row r="89" spans="1:8" x14ac:dyDescent="0.35">
      <c r="A89" t="s">
        <v>213</v>
      </c>
      <c r="B89" t="s">
        <v>45</v>
      </c>
      <c r="C89" t="s">
        <v>18</v>
      </c>
      <c r="D89" t="s">
        <v>19</v>
      </c>
      <c r="E89" s="9">
        <v>55303</v>
      </c>
      <c r="F89" s="8">
        <v>4</v>
      </c>
      <c r="G89" t="s">
        <v>31</v>
      </c>
      <c r="H89" t="s">
        <v>96</v>
      </c>
    </row>
    <row r="90" spans="1:8" x14ac:dyDescent="0.35">
      <c r="A90" t="s">
        <v>214</v>
      </c>
      <c r="B90" t="s">
        <v>48</v>
      </c>
      <c r="C90" t="s">
        <v>39</v>
      </c>
      <c r="E90" s="9">
        <v>63434</v>
      </c>
      <c r="F90" s="8">
        <v>3</v>
      </c>
      <c r="H90" t="s">
        <v>215</v>
      </c>
    </row>
    <row r="91" spans="1:8" x14ac:dyDescent="0.35">
      <c r="A91" t="s">
        <v>216</v>
      </c>
      <c r="B91" t="s">
        <v>35</v>
      </c>
      <c r="D91" t="s">
        <v>78</v>
      </c>
      <c r="F91" s="8">
        <v>3</v>
      </c>
      <c r="G91" t="s">
        <v>20</v>
      </c>
      <c r="H91" t="s">
        <v>96</v>
      </c>
    </row>
    <row r="92" spans="1:8" x14ac:dyDescent="0.35">
      <c r="A92" t="s">
        <v>217</v>
      </c>
      <c r="C92" t="s">
        <v>49</v>
      </c>
      <c r="D92" t="s">
        <v>55</v>
      </c>
      <c r="E92" s="9">
        <v>50741</v>
      </c>
      <c r="F92" s="8">
        <v>3</v>
      </c>
      <c r="G92" t="s">
        <v>14</v>
      </c>
      <c r="H92" t="s">
        <v>185</v>
      </c>
    </row>
    <row r="93" spans="1:8" x14ac:dyDescent="0.35">
      <c r="A93" t="s">
        <v>218</v>
      </c>
      <c r="B93" t="s">
        <v>25</v>
      </c>
      <c r="C93" t="s">
        <v>18</v>
      </c>
      <c r="D93" t="s">
        <v>78</v>
      </c>
      <c r="E93" s="9">
        <v>69420</v>
      </c>
      <c r="F93" s="8">
        <v>1</v>
      </c>
      <c r="G93" t="s">
        <v>31</v>
      </c>
      <c r="H93" t="s">
        <v>148</v>
      </c>
    </row>
    <row r="94" spans="1:8" x14ac:dyDescent="0.35">
      <c r="A94" t="s">
        <v>219</v>
      </c>
      <c r="B94" t="s">
        <v>35</v>
      </c>
      <c r="C94" t="s">
        <v>39</v>
      </c>
      <c r="E94" s="9">
        <v>80588</v>
      </c>
      <c r="F94" s="8">
        <v>5</v>
      </c>
      <c r="G94" t="s">
        <v>31</v>
      </c>
      <c r="H94" t="s">
        <v>129</v>
      </c>
    </row>
    <row r="95" spans="1:8" x14ac:dyDescent="0.35">
      <c r="A95" t="s">
        <v>220</v>
      </c>
      <c r="B95" t="s">
        <v>25</v>
      </c>
      <c r="D95" t="s">
        <v>30</v>
      </c>
      <c r="E95" s="9">
        <v>76238</v>
      </c>
      <c r="F95" s="8">
        <v>4</v>
      </c>
      <c r="G95" t="s">
        <v>31</v>
      </c>
      <c r="H95" t="s">
        <v>221</v>
      </c>
    </row>
    <row r="96" spans="1:8" x14ac:dyDescent="0.35">
      <c r="A96" t="s">
        <v>222</v>
      </c>
      <c r="B96" t="s">
        <v>64</v>
      </c>
      <c r="C96" t="s">
        <v>39</v>
      </c>
      <c r="D96" t="s">
        <v>40</v>
      </c>
      <c r="E96" s="9">
        <v>33264</v>
      </c>
      <c r="G96" t="s">
        <v>41</v>
      </c>
      <c r="H96" t="s">
        <v>223</v>
      </c>
    </row>
    <row r="97" spans="1:8" x14ac:dyDescent="0.35">
      <c r="A97" t="s">
        <v>224</v>
      </c>
      <c r="B97" t="s">
        <v>25</v>
      </c>
      <c r="C97" t="s">
        <v>11</v>
      </c>
      <c r="D97" t="s">
        <v>78</v>
      </c>
      <c r="E97" s="9">
        <v>96101</v>
      </c>
      <c r="G97" t="s">
        <v>20</v>
      </c>
      <c r="H97" t="s">
        <v>225</v>
      </c>
    </row>
    <row r="98" spans="1:8" x14ac:dyDescent="0.35">
      <c r="A98" t="s">
        <v>226</v>
      </c>
      <c r="B98" t="s">
        <v>35</v>
      </c>
      <c r="C98" t="s">
        <v>11</v>
      </c>
      <c r="D98" t="s">
        <v>30</v>
      </c>
      <c r="E98" s="9">
        <v>72939</v>
      </c>
      <c r="F98" s="8">
        <v>3</v>
      </c>
      <c r="H98" t="s">
        <v>227</v>
      </c>
    </row>
    <row r="99" spans="1:8" x14ac:dyDescent="0.35">
      <c r="A99" t="s">
        <v>228</v>
      </c>
      <c r="B99" t="s">
        <v>45</v>
      </c>
      <c r="C99" t="s">
        <v>18</v>
      </c>
      <c r="D99" t="s">
        <v>19</v>
      </c>
      <c r="E99" s="9">
        <v>89333</v>
      </c>
      <c r="F99" s="8">
        <v>1</v>
      </c>
      <c r="G99" t="s">
        <v>31</v>
      </c>
      <c r="H99" t="s">
        <v>229</v>
      </c>
    </row>
    <row r="100" spans="1:8" x14ac:dyDescent="0.35">
      <c r="A100" t="s">
        <v>230</v>
      </c>
      <c r="B100" t="s">
        <v>64</v>
      </c>
      <c r="C100" t="s">
        <v>39</v>
      </c>
      <c r="D100" t="s">
        <v>78</v>
      </c>
      <c r="E100" s="9">
        <v>70470</v>
      </c>
      <c r="G100" t="s">
        <v>31</v>
      </c>
      <c r="H100" t="s">
        <v>231</v>
      </c>
    </row>
    <row r="101" spans="1:8" x14ac:dyDescent="0.35">
      <c r="A101" t="s">
        <v>232</v>
      </c>
      <c r="B101" t="s">
        <v>17</v>
      </c>
      <c r="C101" t="s">
        <v>49</v>
      </c>
      <c r="D101" t="s">
        <v>30</v>
      </c>
      <c r="E101" s="9">
        <v>70096</v>
      </c>
      <c r="F101" s="8">
        <v>4</v>
      </c>
      <c r="G101" t="s">
        <v>31</v>
      </c>
      <c r="H101" t="s">
        <v>233</v>
      </c>
    </row>
    <row r="102" spans="1:8" x14ac:dyDescent="0.35">
      <c r="A102" t="s">
        <v>234</v>
      </c>
      <c r="B102" t="s">
        <v>64</v>
      </c>
      <c r="C102" t="s">
        <v>49</v>
      </c>
      <c r="D102" t="s">
        <v>12</v>
      </c>
      <c r="E102" s="22" t="s">
        <v>13</v>
      </c>
      <c r="F102" s="8">
        <v>2</v>
      </c>
      <c r="G102" t="s">
        <v>20</v>
      </c>
      <c r="H102" t="s">
        <v>235</v>
      </c>
    </row>
    <row r="103" spans="1:8" x14ac:dyDescent="0.35">
      <c r="A103" t="s">
        <v>236</v>
      </c>
      <c r="B103" t="s">
        <v>64</v>
      </c>
      <c r="C103" t="s">
        <v>39</v>
      </c>
      <c r="D103" t="s">
        <v>19</v>
      </c>
      <c r="E103" s="9">
        <v>66503</v>
      </c>
      <c r="G103" t="s">
        <v>31</v>
      </c>
      <c r="H103" t="s">
        <v>88</v>
      </c>
    </row>
    <row r="104" spans="1:8" x14ac:dyDescent="0.35">
      <c r="A104" t="s">
        <v>237</v>
      </c>
      <c r="B104" t="s">
        <v>25</v>
      </c>
      <c r="C104" t="s">
        <v>18</v>
      </c>
      <c r="D104" t="s">
        <v>19</v>
      </c>
      <c r="E104" s="9">
        <v>42096</v>
      </c>
      <c r="G104" t="s">
        <v>41</v>
      </c>
      <c r="H104" t="s">
        <v>238</v>
      </c>
    </row>
    <row r="105" spans="1:8" x14ac:dyDescent="0.35">
      <c r="A105" t="s">
        <v>239</v>
      </c>
      <c r="B105" t="s">
        <v>25</v>
      </c>
      <c r="C105" t="s">
        <v>49</v>
      </c>
      <c r="E105" s="9">
        <v>79145</v>
      </c>
      <c r="F105" s="8">
        <v>5</v>
      </c>
      <c r="G105" t="s">
        <v>20</v>
      </c>
      <c r="H105" t="s">
        <v>143</v>
      </c>
    </row>
    <row r="106" spans="1:8" x14ac:dyDescent="0.35">
      <c r="A106" t="s">
        <v>240</v>
      </c>
      <c r="B106" t="s">
        <v>35</v>
      </c>
      <c r="D106" t="s">
        <v>78</v>
      </c>
      <c r="E106" s="9">
        <v>61556</v>
      </c>
      <c r="F106" s="8">
        <v>1</v>
      </c>
      <c r="H106" t="s">
        <v>235</v>
      </c>
    </row>
    <row r="107" spans="1:8" x14ac:dyDescent="0.35">
      <c r="A107" t="s">
        <v>241</v>
      </c>
      <c r="C107" t="s">
        <v>18</v>
      </c>
      <c r="D107" t="s">
        <v>55</v>
      </c>
      <c r="E107" s="9">
        <v>87963</v>
      </c>
      <c r="F107" s="8">
        <v>3</v>
      </c>
      <c r="G107" t="s">
        <v>20</v>
      </c>
      <c r="H107" t="s">
        <v>15</v>
      </c>
    </row>
    <row r="108" spans="1:8" x14ac:dyDescent="0.35">
      <c r="A108" t="s">
        <v>242</v>
      </c>
      <c r="B108" t="s">
        <v>17</v>
      </c>
      <c r="C108" t="s">
        <v>39</v>
      </c>
      <c r="E108" s="9">
        <v>48325</v>
      </c>
      <c r="G108" t="s">
        <v>31</v>
      </c>
      <c r="H108" t="s">
        <v>243</v>
      </c>
    </row>
    <row r="109" spans="1:8" x14ac:dyDescent="0.35">
      <c r="A109" t="s">
        <v>244</v>
      </c>
      <c r="B109" t="s">
        <v>45</v>
      </c>
      <c r="C109" t="s">
        <v>49</v>
      </c>
      <c r="D109" t="s">
        <v>78</v>
      </c>
      <c r="E109" s="9">
        <v>86412</v>
      </c>
      <c r="F109" s="8">
        <v>2</v>
      </c>
      <c r="G109" t="s">
        <v>41</v>
      </c>
      <c r="H109" t="s">
        <v>93</v>
      </c>
    </row>
    <row r="110" spans="1:8" x14ac:dyDescent="0.35">
      <c r="A110" t="s">
        <v>245</v>
      </c>
      <c r="B110" t="s">
        <v>45</v>
      </c>
      <c r="C110" t="s">
        <v>18</v>
      </c>
      <c r="E110" s="9">
        <v>66761</v>
      </c>
      <c r="F110" s="8">
        <v>1</v>
      </c>
      <c r="H110" t="s">
        <v>246</v>
      </c>
    </row>
    <row r="111" spans="1:8" x14ac:dyDescent="0.35">
      <c r="A111" t="s">
        <v>247</v>
      </c>
      <c r="B111" t="s">
        <v>35</v>
      </c>
      <c r="D111" t="s">
        <v>40</v>
      </c>
      <c r="E111" s="9">
        <v>88850</v>
      </c>
      <c r="F111" s="8">
        <v>1</v>
      </c>
      <c r="G111" t="s">
        <v>41</v>
      </c>
      <c r="H111" t="s">
        <v>248</v>
      </c>
    </row>
    <row r="112" spans="1:8" x14ac:dyDescent="0.35">
      <c r="A112" t="s">
        <v>249</v>
      </c>
      <c r="B112" t="s">
        <v>48</v>
      </c>
      <c r="C112" t="s">
        <v>29</v>
      </c>
      <c r="D112" t="s">
        <v>40</v>
      </c>
      <c r="E112" s="9">
        <v>31293</v>
      </c>
      <c r="F112" s="8">
        <v>2</v>
      </c>
      <c r="G112" t="s">
        <v>41</v>
      </c>
      <c r="H112" t="s">
        <v>250</v>
      </c>
    </row>
    <row r="113" spans="1:8" x14ac:dyDescent="0.35">
      <c r="A113" t="s">
        <v>251</v>
      </c>
      <c r="B113" t="s">
        <v>48</v>
      </c>
      <c r="C113" t="s">
        <v>39</v>
      </c>
      <c r="D113" t="s">
        <v>30</v>
      </c>
      <c r="E113" s="9">
        <v>34306</v>
      </c>
      <c r="F113" s="8">
        <v>5</v>
      </c>
      <c r="G113" t="s">
        <v>41</v>
      </c>
      <c r="H113" t="s">
        <v>182</v>
      </c>
    </row>
    <row r="114" spans="1:8" x14ac:dyDescent="0.35">
      <c r="A114" t="s">
        <v>252</v>
      </c>
      <c r="B114" t="s">
        <v>17</v>
      </c>
      <c r="C114" t="s">
        <v>11</v>
      </c>
      <c r="D114" t="s">
        <v>40</v>
      </c>
      <c r="E114" s="9">
        <v>78330</v>
      </c>
      <c r="G114" t="s">
        <v>20</v>
      </c>
      <c r="H114" t="s">
        <v>233</v>
      </c>
    </row>
    <row r="115" spans="1:8" x14ac:dyDescent="0.35">
      <c r="A115" t="s">
        <v>253</v>
      </c>
      <c r="B115" t="s">
        <v>25</v>
      </c>
      <c r="C115" t="s">
        <v>39</v>
      </c>
      <c r="D115" t="s">
        <v>30</v>
      </c>
      <c r="E115" s="9">
        <v>47653</v>
      </c>
      <c r="F115" s="8">
        <v>1</v>
      </c>
      <c r="G115" t="s">
        <v>31</v>
      </c>
      <c r="H115" t="s">
        <v>254</v>
      </c>
    </row>
    <row r="116" spans="1:8" x14ac:dyDescent="0.35">
      <c r="A116" t="s">
        <v>255</v>
      </c>
      <c r="B116" t="s">
        <v>17</v>
      </c>
      <c r="C116" t="s">
        <v>49</v>
      </c>
      <c r="D116" t="s">
        <v>55</v>
      </c>
      <c r="E116" s="9">
        <v>44627</v>
      </c>
      <c r="F116" s="8">
        <v>4</v>
      </c>
      <c r="H116" t="s">
        <v>174</v>
      </c>
    </row>
    <row r="117" spans="1:8" x14ac:dyDescent="0.35">
      <c r="A117" t="s">
        <v>256</v>
      </c>
      <c r="B117" t="s">
        <v>64</v>
      </c>
      <c r="C117" t="s">
        <v>18</v>
      </c>
      <c r="D117" t="s">
        <v>19</v>
      </c>
      <c r="E117" s="9">
        <v>92343</v>
      </c>
      <c r="F117" s="8">
        <v>4</v>
      </c>
      <c r="G117" t="s">
        <v>41</v>
      </c>
      <c r="H117" t="s">
        <v>96</v>
      </c>
    </row>
    <row r="118" spans="1:8" x14ac:dyDescent="0.35">
      <c r="A118" t="s">
        <v>257</v>
      </c>
      <c r="B118" t="s">
        <v>64</v>
      </c>
      <c r="C118" t="s">
        <v>49</v>
      </c>
      <c r="D118" t="s">
        <v>78</v>
      </c>
      <c r="E118" s="9">
        <v>38837</v>
      </c>
      <c r="F118" s="8">
        <v>5</v>
      </c>
      <c r="G118" t="s">
        <v>41</v>
      </c>
      <c r="H118" t="s">
        <v>182</v>
      </c>
    </row>
    <row r="119" spans="1:8" x14ac:dyDescent="0.35">
      <c r="A119" t="s">
        <v>258</v>
      </c>
      <c r="B119" t="s">
        <v>64</v>
      </c>
      <c r="C119" t="s">
        <v>49</v>
      </c>
      <c r="E119" s="9">
        <v>73483</v>
      </c>
      <c r="F119" s="8">
        <v>1</v>
      </c>
      <c r="H119" t="s">
        <v>259</v>
      </c>
    </row>
    <row r="120" spans="1:8" x14ac:dyDescent="0.35">
      <c r="A120" t="s">
        <v>260</v>
      </c>
      <c r="B120" t="s">
        <v>48</v>
      </c>
      <c r="C120" t="s">
        <v>29</v>
      </c>
      <c r="D120" t="s">
        <v>40</v>
      </c>
      <c r="E120" s="9">
        <v>95032</v>
      </c>
      <c r="F120" s="8">
        <v>3</v>
      </c>
      <c r="H120" t="s">
        <v>261</v>
      </c>
    </row>
    <row r="121" spans="1:8" x14ac:dyDescent="0.35">
      <c r="A121" t="s">
        <v>262</v>
      </c>
      <c r="B121" t="s">
        <v>17</v>
      </c>
      <c r="C121" t="s">
        <v>29</v>
      </c>
      <c r="D121" t="s">
        <v>78</v>
      </c>
      <c r="E121" s="9">
        <v>44358</v>
      </c>
      <c r="G121" t="s">
        <v>41</v>
      </c>
      <c r="H121" t="s">
        <v>88</v>
      </c>
    </row>
    <row r="122" spans="1:8" x14ac:dyDescent="0.35">
      <c r="A122" t="s">
        <v>263</v>
      </c>
      <c r="C122" t="s">
        <v>39</v>
      </c>
      <c r="D122" t="s">
        <v>30</v>
      </c>
      <c r="E122" s="22" t="s">
        <v>13</v>
      </c>
      <c r="F122" s="8">
        <v>5</v>
      </c>
      <c r="G122" t="s">
        <v>14</v>
      </c>
      <c r="H122" t="s">
        <v>264</v>
      </c>
    </row>
    <row r="123" spans="1:8" x14ac:dyDescent="0.35">
      <c r="A123" t="s">
        <v>265</v>
      </c>
      <c r="B123" t="s">
        <v>48</v>
      </c>
      <c r="C123" t="s">
        <v>29</v>
      </c>
      <c r="D123" t="s">
        <v>30</v>
      </c>
      <c r="E123" s="9">
        <v>45676</v>
      </c>
      <c r="F123" s="8">
        <v>2</v>
      </c>
      <c r="H123" t="s">
        <v>266</v>
      </c>
    </row>
    <row r="124" spans="1:8" x14ac:dyDescent="0.35">
      <c r="A124" t="s">
        <v>267</v>
      </c>
      <c r="B124" t="s">
        <v>64</v>
      </c>
      <c r="C124" t="s">
        <v>29</v>
      </c>
      <c r="D124" t="s">
        <v>19</v>
      </c>
      <c r="E124" s="9">
        <v>52036</v>
      </c>
      <c r="F124" s="8">
        <v>3</v>
      </c>
      <c r="G124" t="s">
        <v>31</v>
      </c>
      <c r="H124" t="s">
        <v>268</v>
      </c>
    </row>
    <row r="125" spans="1:8" x14ac:dyDescent="0.35">
      <c r="A125" t="s">
        <v>269</v>
      </c>
      <c r="B125" t="s">
        <v>35</v>
      </c>
      <c r="D125" t="s">
        <v>19</v>
      </c>
      <c r="E125" s="9">
        <v>30357</v>
      </c>
      <c r="F125" s="8">
        <v>5</v>
      </c>
      <c r="G125" t="s">
        <v>31</v>
      </c>
      <c r="H125" t="s">
        <v>207</v>
      </c>
    </row>
    <row r="126" spans="1:8" x14ac:dyDescent="0.35">
      <c r="A126" t="s">
        <v>270</v>
      </c>
      <c r="B126" t="s">
        <v>28</v>
      </c>
      <c r="C126" t="s">
        <v>39</v>
      </c>
      <c r="E126" s="9">
        <v>60034</v>
      </c>
      <c r="F126" s="8">
        <v>1</v>
      </c>
      <c r="G126" t="s">
        <v>41</v>
      </c>
      <c r="H126" t="s">
        <v>271</v>
      </c>
    </row>
    <row r="127" spans="1:8" x14ac:dyDescent="0.35">
      <c r="A127" t="s">
        <v>272</v>
      </c>
      <c r="B127" t="s">
        <v>28</v>
      </c>
      <c r="C127" t="s">
        <v>11</v>
      </c>
      <c r="D127" t="s">
        <v>12</v>
      </c>
      <c r="E127" s="9">
        <v>90019</v>
      </c>
      <c r="F127" s="8">
        <v>5</v>
      </c>
      <c r="H127" t="s">
        <v>273</v>
      </c>
    </row>
    <row r="128" spans="1:8" x14ac:dyDescent="0.35">
      <c r="A128" t="s">
        <v>274</v>
      </c>
      <c r="B128" t="s">
        <v>64</v>
      </c>
      <c r="D128" t="s">
        <v>19</v>
      </c>
      <c r="E128" s="9">
        <v>71494</v>
      </c>
      <c r="F128" s="8">
        <v>3</v>
      </c>
      <c r="G128" t="s">
        <v>31</v>
      </c>
      <c r="H128" t="s">
        <v>275</v>
      </c>
    </row>
    <row r="129" spans="1:8" x14ac:dyDescent="0.35">
      <c r="A129" t="s">
        <v>276</v>
      </c>
      <c r="B129" t="s">
        <v>28</v>
      </c>
      <c r="C129" t="s">
        <v>11</v>
      </c>
      <c r="D129" t="s">
        <v>30</v>
      </c>
      <c r="E129" s="9">
        <v>91953</v>
      </c>
      <c r="F129" s="8">
        <v>2</v>
      </c>
      <c r="G129" t="s">
        <v>31</v>
      </c>
      <c r="H129" t="s">
        <v>113</v>
      </c>
    </row>
    <row r="130" spans="1:8" x14ac:dyDescent="0.35">
      <c r="A130" t="s">
        <v>277</v>
      </c>
      <c r="B130" t="s">
        <v>48</v>
      </c>
      <c r="C130" t="s">
        <v>29</v>
      </c>
      <c r="D130" t="s">
        <v>30</v>
      </c>
      <c r="E130" s="9">
        <v>30402</v>
      </c>
      <c r="F130" s="8">
        <v>1</v>
      </c>
      <c r="H130" t="s">
        <v>278</v>
      </c>
    </row>
    <row r="131" spans="1:8" x14ac:dyDescent="0.35">
      <c r="A131" t="s">
        <v>279</v>
      </c>
      <c r="B131" t="s">
        <v>64</v>
      </c>
      <c r="D131" t="s">
        <v>55</v>
      </c>
      <c r="E131" s="9">
        <v>62994</v>
      </c>
      <c r="H131" t="s">
        <v>139</v>
      </c>
    </row>
    <row r="132" spans="1:8" x14ac:dyDescent="0.35">
      <c r="A132" t="s">
        <v>280</v>
      </c>
      <c r="B132" t="s">
        <v>25</v>
      </c>
      <c r="C132" t="s">
        <v>29</v>
      </c>
      <c r="D132" t="s">
        <v>40</v>
      </c>
      <c r="E132" s="9">
        <v>48289</v>
      </c>
      <c r="F132" s="8">
        <v>3</v>
      </c>
      <c r="G132" t="s">
        <v>31</v>
      </c>
      <c r="H132" t="s">
        <v>53</v>
      </c>
    </row>
    <row r="133" spans="1:8" x14ac:dyDescent="0.35">
      <c r="A133" t="s">
        <v>281</v>
      </c>
      <c r="B133" t="s">
        <v>45</v>
      </c>
      <c r="C133" t="s">
        <v>49</v>
      </c>
      <c r="D133" t="s">
        <v>19</v>
      </c>
      <c r="E133" s="9">
        <v>34402</v>
      </c>
      <c r="F133" s="8">
        <v>3</v>
      </c>
      <c r="G133" t="s">
        <v>20</v>
      </c>
      <c r="H133" t="s">
        <v>133</v>
      </c>
    </row>
    <row r="134" spans="1:8" x14ac:dyDescent="0.35">
      <c r="A134" t="s">
        <v>282</v>
      </c>
      <c r="B134" t="s">
        <v>17</v>
      </c>
      <c r="C134" t="s">
        <v>18</v>
      </c>
      <c r="D134" t="s">
        <v>30</v>
      </c>
      <c r="E134" s="9">
        <v>38678</v>
      </c>
      <c r="F134" s="8">
        <v>3</v>
      </c>
      <c r="G134" t="s">
        <v>20</v>
      </c>
      <c r="H134" t="s">
        <v>283</v>
      </c>
    </row>
    <row r="135" spans="1:8" x14ac:dyDescent="0.35">
      <c r="A135" t="s">
        <v>284</v>
      </c>
      <c r="B135" t="s">
        <v>48</v>
      </c>
      <c r="C135" t="s">
        <v>18</v>
      </c>
      <c r="D135" t="s">
        <v>19</v>
      </c>
      <c r="E135" s="9">
        <v>45758</v>
      </c>
      <c r="F135" s="8">
        <v>3</v>
      </c>
      <c r="H135" t="s">
        <v>250</v>
      </c>
    </row>
    <row r="136" spans="1:8" x14ac:dyDescent="0.35">
      <c r="A136" t="s">
        <v>285</v>
      </c>
      <c r="B136" t="s">
        <v>17</v>
      </c>
      <c r="C136" t="s">
        <v>49</v>
      </c>
      <c r="D136" t="s">
        <v>40</v>
      </c>
      <c r="E136" s="9">
        <f>SUBTOTAL(105,E2:E135)</f>
        <v>30280</v>
      </c>
      <c r="F136" s="8">
        <v>1</v>
      </c>
      <c r="G136" t="s">
        <v>20</v>
      </c>
      <c r="H136" t="s">
        <v>163</v>
      </c>
    </row>
    <row r="137" spans="1:8" x14ac:dyDescent="0.35">
      <c r="A137" t="s">
        <v>286</v>
      </c>
      <c r="C137" t="s">
        <v>39</v>
      </c>
      <c r="D137" t="s">
        <v>55</v>
      </c>
      <c r="E137" s="9">
        <v>39280</v>
      </c>
      <c r="F137" s="8">
        <v>3</v>
      </c>
      <c r="G137" t="s">
        <v>41</v>
      </c>
      <c r="H137" t="s">
        <v>124</v>
      </c>
    </row>
    <row r="138" spans="1:8" x14ac:dyDescent="0.35">
      <c r="A138" t="s">
        <v>287</v>
      </c>
      <c r="B138" t="s">
        <v>35</v>
      </c>
      <c r="C138" t="s">
        <v>11</v>
      </c>
      <c r="D138" t="s">
        <v>40</v>
      </c>
      <c r="E138" s="9">
        <v>60335</v>
      </c>
      <c r="F138" s="8">
        <v>4</v>
      </c>
      <c r="G138" t="s">
        <v>20</v>
      </c>
      <c r="H138" t="s">
        <v>154</v>
      </c>
    </row>
    <row r="139" spans="1:8" x14ac:dyDescent="0.35">
      <c r="A139" t="s">
        <v>288</v>
      </c>
      <c r="B139" t="s">
        <v>48</v>
      </c>
      <c r="C139" t="s">
        <v>18</v>
      </c>
      <c r="D139" t="s">
        <v>19</v>
      </c>
      <c r="E139" s="9">
        <v>84968</v>
      </c>
      <c r="H139" t="s">
        <v>289</v>
      </c>
    </row>
    <row r="140" spans="1:8" x14ac:dyDescent="0.35">
      <c r="A140" t="s">
        <v>290</v>
      </c>
      <c r="B140" t="s">
        <v>48</v>
      </c>
      <c r="C140" t="s">
        <v>49</v>
      </c>
      <c r="D140" t="s">
        <v>78</v>
      </c>
      <c r="E140" s="24">
        <v>84750</v>
      </c>
      <c r="F140" s="8">
        <v>4</v>
      </c>
      <c r="G140" t="s">
        <v>41</v>
      </c>
      <c r="H140" t="s">
        <v>73</v>
      </c>
    </row>
    <row r="141" spans="1:8" x14ac:dyDescent="0.35">
      <c r="A141" t="s">
        <v>291</v>
      </c>
      <c r="B141" t="s">
        <v>64</v>
      </c>
      <c r="C141" t="s">
        <v>39</v>
      </c>
      <c r="E141" s="9">
        <v>73348</v>
      </c>
      <c r="F141" s="8">
        <v>2</v>
      </c>
      <c r="H141" t="s">
        <v>196</v>
      </c>
    </row>
    <row r="142" spans="1:8" x14ac:dyDescent="0.35">
      <c r="A142" t="s">
        <v>292</v>
      </c>
      <c r="B142" t="s">
        <v>48</v>
      </c>
      <c r="C142" t="s">
        <v>29</v>
      </c>
      <c r="D142" t="s">
        <v>30</v>
      </c>
      <c r="E142" s="22" t="s">
        <v>13</v>
      </c>
      <c r="F142" s="8">
        <v>4</v>
      </c>
      <c r="G142" t="s">
        <v>20</v>
      </c>
      <c r="H142" t="s">
        <v>15</v>
      </c>
    </row>
    <row r="143" spans="1:8" x14ac:dyDescent="0.35">
      <c r="A143" t="s">
        <v>293</v>
      </c>
      <c r="B143" t="s">
        <v>35</v>
      </c>
      <c r="C143" t="s">
        <v>49</v>
      </c>
      <c r="D143" t="s">
        <v>30</v>
      </c>
      <c r="E143" s="9">
        <v>66882</v>
      </c>
      <c r="F143" s="8">
        <v>5</v>
      </c>
      <c r="G143" t="s">
        <v>20</v>
      </c>
      <c r="H143" t="s">
        <v>107</v>
      </c>
    </row>
    <row r="144" spans="1:8" x14ac:dyDescent="0.35">
      <c r="A144" t="s">
        <v>294</v>
      </c>
      <c r="B144" t="s">
        <v>25</v>
      </c>
      <c r="C144" t="s">
        <v>49</v>
      </c>
      <c r="E144" s="9">
        <v>86775</v>
      </c>
      <c r="F144" s="8">
        <v>3</v>
      </c>
      <c r="G144" t="s">
        <v>20</v>
      </c>
      <c r="H144" t="s">
        <v>120</v>
      </c>
    </row>
    <row r="145" spans="1:8" x14ac:dyDescent="0.35">
      <c r="A145" t="s">
        <v>295</v>
      </c>
      <c r="B145" t="s">
        <v>48</v>
      </c>
      <c r="C145" t="s">
        <v>29</v>
      </c>
      <c r="D145" t="s">
        <v>55</v>
      </c>
      <c r="E145" s="9">
        <v>91620</v>
      </c>
      <c r="H145" t="s">
        <v>296</v>
      </c>
    </row>
    <row r="146" spans="1:8" x14ac:dyDescent="0.35">
      <c r="A146" t="s">
        <v>297</v>
      </c>
      <c r="B146" t="s">
        <v>17</v>
      </c>
      <c r="E146" s="9">
        <v>94148</v>
      </c>
      <c r="F146" s="8">
        <v>2</v>
      </c>
      <c r="H146" t="s">
        <v>298</v>
      </c>
    </row>
    <row r="147" spans="1:8" x14ac:dyDescent="0.35">
      <c r="A147" t="s">
        <v>299</v>
      </c>
      <c r="B147" t="s">
        <v>45</v>
      </c>
      <c r="C147" t="s">
        <v>29</v>
      </c>
      <c r="D147" t="s">
        <v>78</v>
      </c>
      <c r="E147" s="9">
        <v>35627</v>
      </c>
      <c r="F147" s="8">
        <v>5</v>
      </c>
      <c r="G147" t="s">
        <v>41</v>
      </c>
      <c r="H147" t="s">
        <v>283</v>
      </c>
    </row>
    <row r="148" spans="1:8" x14ac:dyDescent="0.35">
      <c r="A148" t="s">
        <v>300</v>
      </c>
      <c r="B148" t="s">
        <v>28</v>
      </c>
      <c r="C148" t="s">
        <v>49</v>
      </c>
      <c r="D148" t="s">
        <v>30</v>
      </c>
      <c r="E148" s="9">
        <v>57141</v>
      </c>
      <c r="F148" s="8">
        <v>2</v>
      </c>
      <c r="H148" t="s">
        <v>289</v>
      </c>
    </row>
    <row r="149" spans="1:8" x14ac:dyDescent="0.35">
      <c r="A149" t="s">
        <v>301</v>
      </c>
      <c r="B149" t="s">
        <v>64</v>
      </c>
      <c r="C149" t="s">
        <v>29</v>
      </c>
      <c r="D149" t="s">
        <v>78</v>
      </c>
      <c r="E149" s="9">
        <v>65270</v>
      </c>
      <c r="F149" s="8">
        <v>1</v>
      </c>
      <c r="H149" t="s">
        <v>302</v>
      </c>
    </row>
    <row r="150" spans="1:8" x14ac:dyDescent="0.35">
      <c r="A150" t="s">
        <v>303</v>
      </c>
      <c r="B150" t="s">
        <v>64</v>
      </c>
      <c r="D150" t="s">
        <v>55</v>
      </c>
      <c r="E150" s="9">
        <v>67335</v>
      </c>
      <c r="F150" s="8">
        <v>1</v>
      </c>
      <c r="G150" t="s">
        <v>20</v>
      </c>
      <c r="H150" t="s">
        <v>169</v>
      </c>
    </row>
    <row r="151" spans="1:8" x14ac:dyDescent="0.35">
      <c r="A151" t="s">
        <v>304</v>
      </c>
      <c r="B151" t="s">
        <v>45</v>
      </c>
      <c r="C151" t="s">
        <v>49</v>
      </c>
      <c r="D151" t="s">
        <v>40</v>
      </c>
      <c r="E151" s="9">
        <v>98475</v>
      </c>
      <c r="F151" s="8">
        <v>5</v>
      </c>
      <c r="G151" t="s">
        <v>20</v>
      </c>
      <c r="H151" t="s">
        <v>305</v>
      </c>
    </row>
    <row r="152" spans="1:8" x14ac:dyDescent="0.35">
      <c r="D152" t="s">
        <v>33</v>
      </c>
      <c r="E152" s="9">
        <f>SUM(E2:E151)</f>
        <v>9340866</v>
      </c>
    </row>
    <row r="153" spans="1:8" x14ac:dyDescent="0.35">
      <c r="D153" t="s">
        <v>37</v>
      </c>
      <c r="E153" s="9">
        <f>AVERAGE(E2,E151)</f>
        <v>98475</v>
      </c>
    </row>
    <row r="154" spans="1:8" x14ac:dyDescent="0.35">
      <c r="D154" t="s">
        <v>43</v>
      </c>
      <c r="E154" s="9">
        <f>MIN(E2:E151)</f>
        <v>30280</v>
      </c>
    </row>
    <row r="155" spans="1:8" x14ac:dyDescent="0.35">
      <c r="D155" t="s">
        <v>46</v>
      </c>
      <c r="E155" s="9">
        <f>MAX(E2:E151)</f>
        <v>99621</v>
      </c>
      <c r="F155"/>
    </row>
    <row r="156" spans="1:8" x14ac:dyDescent="0.35">
      <c r="D156" t="s">
        <v>51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9">
        <f>COUNT(E3:E1048573)</f>
        <v>146</v>
      </c>
    </row>
  </sheetData>
  <conditionalFormatting sqref="B1:B151 B357:B1048576">
    <cfRule type="containsBlanks" dxfId="35" priority="18">
      <formula>LEN(TRIM(B1))=0</formula>
    </cfRule>
    <cfRule type="containsBlanks" dxfId="34" priority="19">
      <formula>LEN(TRIM(B1))=0</formula>
    </cfRule>
    <cfRule type="timePeriod" dxfId="33" priority="23" timePeriod="yesterday">
      <formula>FLOOR(B1,1)=TODAY()-1</formula>
    </cfRule>
    <cfRule type="containsBlanks" dxfId="32" priority="24">
      <formula>LEN(TRIM(B1))=0</formula>
    </cfRule>
  </conditionalFormatting>
  <conditionalFormatting sqref="C1:C151 C357:C1048576">
    <cfRule type="containsBlanks" dxfId="31" priority="21">
      <formula>LEN(TRIM(C1))=0</formula>
    </cfRule>
    <cfRule type="containsBlanks" dxfId="30" priority="22">
      <formula>LEN(TRIM(C1))=0</formula>
    </cfRule>
  </conditionalFormatting>
  <conditionalFormatting sqref="D1:D151 D357:D1048576">
    <cfRule type="containsBlanks" dxfId="29" priority="20">
      <formula>LEN(TRIM(D1))=0</formula>
    </cfRule>
  </conditionalFormatting>
  <conditionalFormatting sqref="E1:E151 E357:E1048576">
    <cfRule type="containsText" dxfId="28" priority="12" operator="containsText" text="N/A">
      <formula>NOT(ISERROR(SEARCH("N/A",E1)))</formula>
    </cfRule>
    <cfRule type="containsBlanks" dxfId="27" priority="17">
      <formula>LEN(TRIM(E1))=0</formula>
    </cfRule>
  </conditionalFormatting>
  <conditionalFormatting sqref="F1:F151 F357:F1048576">
    <cfRule type="containsBlanks" dxfId="26" priority="16">
      <formula>LEN(TRIM(F1))=0</formula>
    </cfRule>
  </conditionalFormatting>
  <conditionalFormatting sqref="G1:G151 G357:G1048576">
    <cfRule type="containsText" dxfId="25" priority="3" operator="containsText" text="other">
      <formula>NOT(ISERROR(SEARCH("other",G1)))</formula>
    </cfRule>
    <cfRule type="containsText" dxfId="24" priority="4" operator="containsText" text="other">
      <formula>NOT(ISERROR(SEARCH("other",G1)))</formula>
    </cfRule>
    <cfRule type="containsText" dxfId="23" priority="5" operator="containsText" text="others">
      <formula>NOT(ISERROR(SEARCH("others",G1)))</formula>
    </cfRule>
    <cfRule type="containsText" dxfId="22" priority="6" operator="containsText" text="others">
      <formula>NOT(ISERROR(SEARCH("others",G1)))</formula>
    </cfRule>
    <cfRule type="containsText" dxfId="21" priority="7" operator="containsText" text="others">
      <formula>NOT(ISERROR(SEARCH("others",G1)))</formula>
    </cfRule>
    <cfRule type="containsText" dxfId="20" priority="8" operator="containsText" text="female">
      <formula>NOT(ISERROR(SEARCH("female",G1)))</formula>
    </cfRule>
    <cfRule type="containsText" dxfId="19" priority="9" operator="containsText" text="male">
      <formula>NOT(ISERROR(SEARCH("male",G1)))</formula>
    </cfRule>
    <cfRule type="containsText" dxfId="18" priority="10" operator="containsText" text="unknown">
      <formula>NOT(ISERROR(SEARCH("unknown",G1)))</formula>
    </cfRule>
    <cfRule type="cellIs" dxfId="17" priority="11" operator="greaterThan">
      <formula>"unknown"</formula>
    </cfRule>
    <cfRule type="containsBlanks" dxfId="16" priority="15">
      <formula>LEN(TRIM(G1))=0</formula>
    </cfRule>
  </conditionalFormatting>
  <conditionalFormatting sqref="H1:H151 H357:H1048576">
    <cfRule type="containsText" dxfId="15" priority="1" operator="containsText" text="invalid_email">
      <formula>NOT(ISERROR(SEARCH("invalid_email",H1)))</formula>
    </cfRule>
    <cfRule type="containsText" dxfId="14" priority="2" operator="containsText" text="invalid_email">
      <formula>NOT(ISERROR(SEARCH("invalid_email",H1)))</formula>
    </cfRule>
    <cfRule type="containsBlanks" dxfId="13" priority="13">
      <formula>LEN(TRIM(H1))=0</formula>
    </cfRule>
    <cfRule type="containsBlanks" dxfId="12" priority="14">
      <formula>LEN(TRIM(H1))=0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2025-12-21T15:10:42Z</dcterms:created>
  <dcterms:modified xsi:type="dcterms:W3CDTF">2025-12-21T15:16:02Z</dcterms:modified>
</cp:coreProperties>
</file>