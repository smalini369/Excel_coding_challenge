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_Assignment\"/>
    </mc:Choice>
  </mc:AlternateContent>
  <bookViews>
    <workbookView xWindow="0" yWindow="0" windowWidth="19200" windowHeight="7050" activeTab="3"/>
  </bookViews>
  <sheets>
    <sheet name="Instructions" sheetId="1" r:id="rId1"/>
    <sheet name="Dataset" sheetId="2" r:id="rId2"/>
    <sheet name="Assignment2 cleaning" sheetId="4" r:id="rId3"/>
    <sheet name="Assignment2 Cleaned" sheetId="3" r:id="rId4"/>
  </sheets>
  <calcPr calcId="162913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T3" i="4" l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S3" i="4"/>
  <c r="S2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D2" i="3" l="1"/>
  <c r="H2" i="4" l="1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N3" i="4"/>
  <c r="O3" i="4" s="1"/>
  <c r="Q3" i="4" s="1"/>
  <c r="N4" i="4"/>
  <c r="O4" i="4" s="1"/>
  <c r="Q4" i="4" s="1"/>
  <c r="N5" i="4"/>
  <c r="O5" i="4" s="1"/>
  <c r="N6" i="4"/>
  <c r="O6" i="4" s="1"/>
  <c r="Q6" i="4" s="1"/>
  <c r="N7" i="4"/>
  <c r="O7" i="4" s="1"/>
  <c r="Q7" i="4" s="1"/>
  <c r="N8" i="4"/>
  <c r="O8" i="4" s="1"/>
  <c r="P8" i="4" s="1"/>
  <c r="R8" i="4" s="1"/>
  <c r="N9" i="4"/>
  <c r="O9" i="4" s="1"/>
  <c r="P9" i="4" s="1"/>
  <c r="R9" i="4" s="1"/>
  <c r="N10" i="4"/>
  <c r="O10" i="4" s="1"/>
  <c r="P10" i="4" s="1"/>
  <c r="R10" i="4" s="1"/>
  <c r="N11" i="4"/>
  <c r="O11" i="4" s="1"/>
  <c r="P11" i="4" s="1"/>
  <c r="R11" i="4" s="1"/>
  <c r="N12" i="4"/>
  <c r="O12" i="4" s="1"/>
  <c r="Q12" i="4" s="1"/>
  <c r="N13" i="4"/>
  <c r="O13" i="4" s="1"/>
  <c r="N14" i="4"/>
  <c r="O14" i="4" s="1"/>
  <c r="Q14" i="4" s="1"/>
  <c r="N15" i="4"/>
  <c r="O15" i="4" s="1"/>
  <c r="Q15" i="4" s="1"/>
  <c r="N16" i="4"/>
  <c r="O16" i="4" s="1"/>
  <c r="P16" i="4" s="1"/>
  <c r="R16" i="4" s="1"/>
  <c r="N17" i="4"/>
  <c r="O17" i="4" s="1"/>
  <c r="P17" i="4" s="1"/>
  <c r="R17" i="4" s="1"/>
  <c r="N18" i="4"/>
  <c r="O18" i="4" s="1"/>
  <c r="P18" i="4" s="1"/>
  <c r="R18" i="4" s="1"/>
  <c r="N19" i="4"/>
  <c r="O19" i="4" s="1"/>
  <c r="P19" i="4" s="1"/>
  <c r="R19" i="4" s="1"/>
  <c r="N20" i="4"/>
  <c r="O20" i="4" s="1"/>
  <c r="Q20" i="4" s="1"/>
  <c r="N21" i="4"/>
  <c r="O21" i="4" s="1"/>
  <c r="N22" i="4"/>
  <c r="O22" i="4" s="1"/>
  <c r="Q22" i="4" s="1"/>
  <c r="N23" i="4"/>
  <c r="O23" i="4" s="1"/>
  <c r="N24" i="4"/>
  <c r="O24" i="4" s="1"/>
  <c r="P24" i="4" s="1"/>
  <c r="R24" i="4" s="1"/>
  <c r="N25" i="4"/>
  <c r="O25" i="4" s="1"/>
  <c r="P25" i="4" s="1"/>
  <c r="R25" i="4" s="1"/>
  <c r="N26" i="4"/>
  <c r="O26" i="4" s="1"/>
  <c r="P26" i="4" s="1"/>
  <c r="R26" i="4" s="1"/>
  <c r="N27" i="4"/>
  <c r="O27" i="4" s="1"/>
  <c r="N28" i="4"/>
  <c r="O28" i="4" s="1"/>
  <c r="Q28" i="4" s="1"/>
  <c r="N29" i="4"/>
  <c r="O29" i="4" s="1"/>
  <c r="N30" i="4"/>
  <c r="O30" i="4" s="1"/>
  <c r="Q30" i="4" s="1"/>
  <c r="N31" i="4"/>
  <c r="O31" i="4" s="1"/>
  <c r="Q31" i="4" s="1"/>
  <c r="N32" i="4"/>
  <c r="O32" i="4" s="1"/>
  <c r="P32" i="4" s="1"/>
  <c r="R32" i="4" s="1"/>
  <c r="N2" i="4"/>
  <c r="O2" i="4" s="1"/>
  <c r="J31" i="4"/>
  <c r="I2" i="4"/>
  <c r="L3" i="4"/>
  <c r="M3" i="4" s="1"/>
  <c r="L4" i="4"/>
  <c r="M4" i="4" s="1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2" i="4"/>
  <c r="M2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2" i="4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K31" i="4" l="1"/>
  <c r="Q27" i="4"/>
  <c r="P27" i="4"/>
  <c r="R27" i="4" s="1"/>
  <c r="K5" i="4"/>
  <c r="Q23" i="4"/>
  <c r="P23" i="4"/>
  <c r="R23" i="4" s="1"/>
  <c r="Q16" i="4"/>
  <c r="Q32" i="4"/>
  <c r="P2" i="4"/>
  <c r="R2" i="4" s="1"/>
  <c r="Q2" i="4"/>
  <c r="P29" i="4"/>
  <c r="R29" i="4" s="1"/>
  <c r="Q29" i="4"/>
  <c r="P21" i="4"/>
  <c r="R21" i="4" s="1"/>
  <c r="Q21" i="4"/>
  <c r="P13" i="4"/>
  <c r="R13" i="4" s="1"/>
  <c r="Q13" i="4"/>
  <c r="P5" i="4"/>
  <c r="R5" i="4" s="1"/>
  <c r="Q5" i="4"/>
  <c r="Q19" i="4"/>
  <c r="P3" i="4"/>
  <c r="R3" i="4" s="1"/>
  <c r="Q17" i="4"/>
  <c r="P31" i="4"/>
  <c r="R31" i="4" s="1"/>
  <c r="Q11" i="4"/>
  <c r="Q25" i="4"/>
  <c r="Q9" i="4"/>
  <c r="P15" i="4"/>
  <c r="R15" i="4" s="1"/>
  <c r="Q24" i="4"/>
  <c r="Q8" i="4"/>
  <c r="P7" i="4"/>
  <c r="R7" i="4" s="1"/>
  <c r="Q26" i="4"/>
  <c r="Q18" i="4"/>
  <c r="Q10" i="4"/>
  <c r="P14" i="4"/>
  <c r="R14" i="4" s="1"/>
  <c r="P30" i="4"/>
  <c r="R30" i="4" s="1"/>
  <c r="P22" i="4"/>
  <c r="R22" i="4" s="1"/>
  <c r="P6" i="4"/>
  <c r="R6" i="4" s="1"/>
  <c r="P28" i="4"/>
  <c r="R28" i="4" s="1"/>
  <c r="P20" i="4"/>
  <c r="R20" i="4" s="1"/>
  <c r="P12" i="4"/>
  <c r="R12" i="4" s="1"/>
  <c r="P4" i="4"/>
  <c r="R4" i="4" s="1"/>
  <c r="K21" i="4"/>
  <c r="K29" i="4"/>
  <c r="K3" i="4"/>
  <c r="K27" i="4"/>
  <c r="K19" i="4"/>
  <c r="K13" i="4"/>
  <c r="K11" i="4"/>
  <c r="K25" i="4"/>
  <c r="K17" i="4"/>
  <c r="K9" i="4"/>
  <c r="K32" i="4"/>
  <c r="K15" i="4"/>
  <c r="K22" i="4"/>
  <c r="K24" i="4"/>
  <c r="K7" i="4"/>
  <c r="K14" i="4"/>
  <c r="K12" i="4"/>
  <c r="K8" i="4"/>
  <c r="K30" i="4"/>
  <c r="K16" i="4"/>
  <c r="K23" i="4"/>
  <c r="K6" i="4"/>
  <c r="K28" i="4"/>
  <c r="K20" i="4"/>
  <c r="K4" i="4"/>
  <c r="K26" i="4"/>
  <c r="K18" i="4"/>
  <c r="K10" i="4"/>
  <c r="K2" i="4"/>
</calcChain>
</file>

<file path=xl/sharedStrings.xml><?xml version="1.0" encoding="utf-8"?>
<sst xmlns="http://schemas.openxmlformats.org/spreadsheetml/2006/main" count="459" uniqueCount="224">
  <si>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</si>
  <si>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</si>
  <si>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</si>
  <si>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</si>
  <si>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</si>
  <si>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</si>
  <si>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</si>
  <si>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</si>
  <si>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</si>
  <si>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</si>
  <si>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</si>
  <si>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</si>
  <si>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</si>
  <si>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</si>
  <si>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</si>
  <si>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</si>
  <si>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</si>
  <si>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</si>
  <si>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</si>
  <si>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</si>
  <si>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</si>
  <si>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</si>
  <si>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</si>
  <si>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</si>
  <si>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</si>
  <si>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</si>
  <si>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</si>
  <si>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</si>
  <si>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</si>
  <si>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</si>
  <si>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</si>
  <si>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</si>
  <si>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</si>
  <si>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</si>
  <si>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</si>
  <si>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</si>
  <si>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</si>
  <si>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</si>
  <si>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</si>
  <si>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</si>
  <si>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</si>
  <si>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</si>
  <si>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</si>
  <si>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</si>
  <si>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</si>
  <si>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</si>
  <si>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</si>
  <si>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</si>
  <si>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</si>
  <si>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</si>
  <si>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</si>
  <si>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</si>
  <si>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</si>
  <si>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</si>
  <si>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</si>
  <si>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</si>
  <si>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</si>
  <si>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</si>
  <si>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</si>
  <si>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</si>
  <si>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</si>
  <si>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</si>
  <si>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</si>
  <si>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</si>
  <si>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</si>
  <si>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</si>
  <si>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</si>
  <si>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</si>
  <si>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</si>
  <si>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</si>
  <si>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</si>
  <si>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</si>
  <si>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</si>
  <si>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</si>
  <si>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</si>
  <si>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</si>
  <si>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</si>
  <si>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</si>
  <si>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</si>
  <si>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</si>
  <si>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</si>
  <si>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</si>
  <si>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</si>
  <si>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</si>
  <si>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</si>
  <si>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</si>
  <si>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</si>
  <si>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</si>
  <si>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</si>
  <si>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</si>
  <si>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</si>
  <si>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</si>
  <si>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</si>
  <si>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</si>
  <si>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</si>
  <si>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</si>
  <si>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</si>
  <si>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</si>
  <si>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</si>
  <si>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</si>
  <si>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</si>
  <si>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</si>
  <si>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</si>
  <si>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</si>
  <si>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</si>
  <si>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</si>
  <si>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</si>
  <si>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</si>
  <si>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</si>
  <si>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</si>
  <si>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</si>
  <si>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</si>
  <si>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</si>
  <si>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</si>
  <si>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</si>
  <si>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</si>
  <si>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Cleaned</t>
  </si>
  <si>
    <t>Product &amp; Brand Name</t>
  </si>
  <si>
    <t>Category c</t>
  </si>
  <si>
    <t>Category cleaned</t>
  </si>
  <si>
    <t>trim</t>
  </si>
  <si>
    <t>clean</t>
  </si>
  <si>
    <t>Manufacturing Date</t>
  </si>
  <si>
    <t>Country Code</t>
  </si>
  <si>
    <t>Product &amp; Brand cleaned</t>
  </si>
  <si>
    <t>DD-MM-YYYY</t>
  </si>
  <si>
    <t>Name1</t>
  </si>
  <si>
    <t>Name2</t>
  </si>
  <si>
    <t>Product_ID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</si>
  <si>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</si>
  <si>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</si>
  <si>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</si>
  <si>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</si>
  <si>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</si>
  <si>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</si>
  <si>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</si>
  <si>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</si>
  <si>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</si>
  <si>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</si>
  <si>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</si>
  <si>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</si>
  <si>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</si>
  <si>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</si>
  <si>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</si>
  <si>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</si>
  <si>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</si>
  <si>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</si>
  <si>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</si>
  <si>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</si>
  <si>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</si>
  <si>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</si>
  <si>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</si>
  <si>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</si>
  <si>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</si>
  <si>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</si>
  <si>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</si>
  <si>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</si>
  <si>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</si>
  <si>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</si>
  <si>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Product Brand</t>
  </si>
  <si>
    <t>Price</t>
  </si>
  <si>
    <t>product wise price</t>
  </si>
  <si>
    <t>Price1</t>
  </si>
  <si>
    <t>Category filled with if formula</t>
  </si>
  <si>
    <t>ANALYSIS MADE</t>
  </si>
  <si>
    <t>FORMULA USED</t>
  </si>
  <si>
    <t>2. CLEAN, TRIM AND PROPER done for all cells</t>
  </si>
  <si>
    <t>COMMON FUNCTIONS</t>
  </si>
  <si>
    <t>MISSING VALUES</t>
  </si>
  <si>
    <t>IFERROR(IF(D2="",AVERAGEIF($B$2:$B$32,B2,$D$2:$D$32),D2),"NO VALUE")</t>
  </si>
  <si>
    <t>2. Found Typos in Category column</t>
  </si>
  <si>
    <r>
      <t>Replaced all</t>
    </r>
    <r>
      <rPr>
        <b/>
        <sz val="10"/>
        <color theme="8" tint="-0.249977111117893"/>
        <rFont val="Arial"/>
        <family val="2"/>
        <scheme val="minor"/>
      </rPr>
      <t xml:space="preserve"> Electroni with Electronics</t>
    </r>
  </si>
  <si>
    <t>IF(ISBLANK(F2),"Electronics",F2)</t>
  </si>
  <si>
    <t>SPLITTING AND MERGING</t>
  </si>
  <si>
    <t>LEFT(O2,6)</t>
  </si>
  <si>
    <t>1. MANUFACTURING DATE</t>
  </si>
  <si>
    <t>2. COUNTRY CODE</t>
  </si>
  <si>
    <t>RIGHT(O2,2)</t>
  </si>
  <si>
    <t>PROPER(CONCATENATE(I2," ",J2))</t>
  </si>
  <si>
    <t>1. REMOVED all DUPLICATES and l INCONSISTENCIES</t>
  </si>
  <si>
    <t>FORMATTING</t>
  </si>
  <si>
    <t>DATE(2025,MONTH(P2),DAY(P2))</t>
  </si>
  <si>
    <t>Assumed year as 2025 as year is not given</t>
  </si>
  <si>
    <t>CONDITIONAL FORMATTING</t>
  </si>
  <si>
    <r>
      <t xml:space="preserve">2. MANUFACTURING DATE as </t>
    </r>
    <r>
      <rPr>
        <b/>
        <sz val="10"/>
        <color theme="4"/>
        <rFont val="Arial"/>
        <family val="2"/>
        <scheme val="minor"/>
      </rPr>
      <t>DD-MM-YYYY</t>
    </r>
  </si>
  <si>
    <r>
      <t xml:space="preserve"> 1. Price column has been changed to </t>
    </r>
    <r>
      <rPr>
        <sz val="10"/>
        <color theme="4"/>
        <rFont val="Arial"/>
        <family val="2"/>
        <scheme val="minor"/>
      </rPr>
      <t>C</t>
    </r>
    <r>
      <rPr>
        <b/>
        <sz val="10"/>
        <color theme="4"/>
        <rFont val="Arial"/>
        <family val="2"/>
        <scheme val="minor"/>
      </rPr>
      <t>URRENCY FORMAT ($)</t>
    </r>
  </si>
  <si>
    <r>
      <t xml:space="preserve">1. In the </t>
    </r>
    <r>
      <rPr>
        <b/>
        <sz val="10"/>
        <color theme="4"/>
        <rFont val="Arial"/>
        <family val="2"/>
        <scheme val="minor"/>
      </rPr>
      <t xml:space="preserve">Price column Headphones,Sunglasses and Camping tent </t>
    </r>
    <r>
      <rPr>
        <sz val="10"/>
        <color rgb="FF000000"/>
        <rFont val="Arial"/>
        <family val="2"/>
        <scheme val="minor"/>
      </rPr>
      <t>are missing</t>
    </r>
  </si>
  <si>
    <t>(Hence filled Camping tent with No Value)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</si>
  <si>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</si>
  <si>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</si>
  <si>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</si>
  <si>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</si>
  <si>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</si>
  <si>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</si>
  <si>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</si>
  <si>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</si>
  <si>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</si>
  <si>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</si>
  <si>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</si>
  <si>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</si>
  <si>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</si>
  <si>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</si>
  <si>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</si>
  <si>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</si>
  <si>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</si>
  <si>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</si>
  <si>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</si>
  <si>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</si>
  <si>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</si>
  <si>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</si>
  <si>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</si>
  <si>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</si>
  <si>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</si>
  <si>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</si>
  <si>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</si>
  <si>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</si>
  <si>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</si>
  <si>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</si>
  <si>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</si>
  <si>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r>
      <t xml:space="preserve">      </t>
    </r>
    <r>
      <rPr>
        <sz val="10"/>
        <rFont val="Arial"/>
        <family val="2"/>
        <scheme val="minor"/>
      </rPr>
      <t xml:space="preserve">   2</t>
    </r>
    <r>
      <rPr>
        <sz val="10"/>
        <color theme="4"/>
        <rFont val="Arial"/>
        <family val="2"/>
        <scheme val="minor"/>
      </rPr>
      <t>. Imputed missed datas with PRODUCT WISE MEAN.</t>
    </r>
  </si>
  <si>
    <t xml:space="preserve">3. Electronics is missed in Category Column and filled with formula. </t>
  </si>
  <si>
    <r>
      <t>1. Applied</t>
    </r>
    <r>
      <rPr>
        <sz val="10"/>
        <color theme="4"/>
        <rFont val="Arial"/>
        <family val="2"/>
        <scheme val="minor"/>
      </rPr>
      <t xml:space="preserve"> Data Bars</t>
    </r>
    <r>
      <rPr>
        <sz val="10"/>
        <color rgb="FF000000"/>
        <rFont val="Arial"/>
        <family val="2"/>
        <scheme val="minor"/>
      </rPr>
      <t xml:space="preserve"> in Price column and </t>
    </r>
    <r>
      <rPr>
        <sz val="10"/>
        <color theme="4"/>
        <rFont val="Arial"/>
        <family val="2"/>
        <scheme val="minor"/>
      </rPr>
      <t>Highlighted Electronics</t>
    </r>
    <r>
      <rPr>
        <sz val="10"/>
        <color rgb="FF000000"/>
        <rFont val="Arial"/>
        <family val="2"/>
        <scheme val="minor"/>
      </rPr>
      <t xml:space="preserve"> in Category column. </t>
    </r>
  </si>
  <si>
    <r>
      <rPr>
        <sz val="10"/>
        <color theme="5" tint="-0.249977111117893"/>
        <rFont val="Arial"/>
        <family val="2"/>
        <scheme val="minor"/>
      </rPr>
      <t>Note:</t>
    </r>
    <r>
      <rPr>
        <sz val="10"/>
        <color rgb="FF000000"/>
        <rFont val="Arial"/>
        <family val="2"/>
        <scheme val="minor"/>
      </rPr>
      <t xml:space="preserve"> 1. Camping tent has only one value so taken mean for </t>
    </r>
    <r>
      <rPr>
        <sz val="10"/>
        <color theme="4" tint="-0.249977111117893"/>
        <rFont val="Arial"/>
        <family val="2"/>
        <scheme val="minor"/>
      </rPr>
      <t>Outdoor</t>
    </r>
  </si>
  <si>
    <r>
      <t>3. Merged</t>
    </r>
    <r>
      <rPr>
        <b/>
        <sz val="10"/>
        <color theme="4" tint="-0.249977111117893"/>
        <rFont val="Arial"/>
        <family val="2"/>
        <scheme val="minor"/>
      </rPr>
      <t xml:space="preserve"> BRAND NAME AND PRODUCT NAME</t>
    </r>
    <r>
      <rPr>
        <sz val="10"/>
        <color rgb="FF000000"/>
        <rFont val="Arial"/>
        <family val="2"/>
        <scheme val="minor"/>
      </rPr>
      <t xml:space="preserve"> as</t>
    </r>
    <r>
      <rPr>
        <b/>
        <sz val="10"/>
        <color theme="4" tint="-0.249977111117893"/>
        <rFont val="Arial"/>
        <family val="2"/>
        <scheme val="minor"/>
      </rPr>
      <t xml:space="preserve"> PRODUCT BRAND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</si>
</sst>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dd\-mm\-yyyy"/>
    <numFmt numFmtId="166" formatCode="&quot;$&quot;#,##0"/>
  </numFmts>
  <fonts count="2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7030A0"/>
      <name val="Times New Roman"/>
      <family val="1"/>
    </font>
    <font>
      <sz val="10"/>
      <color rgb="FF7030A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7030A0"/>
      <name val="Arial"/>
      <family val="2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theme="4"/>
      <name val="Arial"/>
      <family val="2"/>
      <scheme val="minor"/>
    </font>
    <font>
      <sz val="10"/>
      <color theme="5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5" fillId="0" borderId="2" xfId="0" applyFont="1" applyBorder="1"/>
    <xf numFmtId="0" fontId="5" fillId="3" borderId="2" xfId="0" applyFont="1" applyFill="1" applyBorder="1"/>
    <xf numFmtId="0" fontId="5" fillId="0" borderId="3" xfId="0" applyFont="1" applyBorder="1"/>
    <xf numFmtId="0" fontId="5" fillId="3" borderId="3" xfId="0" applyFont="1" applyFill="1" applyBorder="1"/>
    <xf numFmtId="0" fontId="5" fillId="0" borderId="4" xfId="0" applyFont="1" applyBorder="1"/>
    <xf numFmtId="0" fontId="5" fillId="3" borderId="4" xfId="0" applyFont="1" applyFill="1" applyBorder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5" fillId="3" borderId="8" xfId="0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2" fontId="5" fillId="0" borderId="0" xfId="0" applyNumberFormat="1" applyFont="1" applyAlignment="1"/>
    <xf numFmtId="0" fontId="0" fillId="4" borderId="0" xfId="0" applyFont="1" applyFill="1" applyAlignment="1"/>
    <xf numFmtId="0" fontId="9" fillId="0" borderId="0" xfId="0" applyFont="1" applyAlignment="1"/>
    <xf numFmtId="0" fontId="11" fillId="0" borderId="0" xfId="0" applyFont="1"/>
    <xf numFmtId="0" fontId="12" fillId="0" borderId="0" xfId="0" applyFont="1" applyAlignment="1"/>
    <xf numFmtId="0" fontId="0" fillId="0" borderId="0" xfId="0" applyFont="1" applyAlignment="1">
      <alignment horizontal="center" vertical="center"/>
    </xf>
    <xf numFmtId="0" fontId="11" fillId="0" borderId="0" xfId="0" applyFont="1" applyAlignment="1"/>
    <xf numFmtId="0" fontId="14" fillId="0" borderId="0" xfId="0" applyFont="1" applyAlignment="1"/>
    <xf numFmtId="0" fontId="0" fillId="5" borderId="2" xfId="0" applyFont="1" applyFill="1" applyBorder="1" applyAlignment="1"/>
    <xf numFmtId="0" fontId="7" fillId="2" borderId="11" xfId="0" applyFont="1" applyFill="1" applyBorder="1" applyAlignment="1">
      <alignment horizontal="center"/>
    </xf>
    <xf numFmtId="0" fontId="8" fillId="3" borderId="7" xfId="0" applyFont="1" applyFill="1" applyBorder="1" applyAlignment="1"/>
    <xf numFmtId="0" fontId="8" fillId="3" borderId="4" xfId="0" applyFont="1" applyFill="1" applyBorder="1" applyAlignment="1"/>
    <xf numFmtId="0" fontId="13" fillId="4" borderId="0" xfId="0" applyFont="1" applyFill="1" applyAlignment="1"/>
    <xf numFmtId="0" fontId="15" fillId="6" borderId="2" xfId="0" applyFont="1" applyFill="1" applyBorder="1" applyAlignment="1"/>
    <xf numFmtId="0" fontId="15" fillId="6" borderId="0" xfId="0" applyFont="1" applyFill="1" applyAlignment="1"/>
    <xf numFmtId="0" fontId="15" fillId="6" borderId="0" xfId="0" applyFont="1" applyFill="1" applyAlignment="1">
      <alignment horizontal="center" vertical="center"/>
    </xf>
    <xf numFmtId="0" fontId="11" fillId="4" borderId="0" xfId="0" applyFont="1" applyFill="1" applyAlignment="1"/>
    <xf numFmtId="0" fontId="14" fillId="4" borderId="0" xfId="0" applyFont="1" applyFill="1" applyAlignment="1"/>
    <xf numFmtId="0" fontId="0" fillId="0" borderId="0" xfId="0" applyFont="1" applyBorder="1" applyAlignment="1"/>
    <xf numFmtId="165" fontId="0" fillId="0" borderId="0" xfId="0" applyNumberFormat="1" applyFont="1" applyAlignment="1"/>
    <xf numFmtId="165" fontId="15" fillId="6" borderId="0" xfId="0" applyNumberFormat="1" applyFont="1" applyFill="1" applyAlignment="1"/>
    <xf numFmtId="0" fontId="0" fillId="7" borderId="2" xfId="0" applyFont="1" applyFill="1" applyBorder="1" applyAlignment="1">
      <alignment horizontal="center" vertical="center"/>
    </xf>
    <xf numFmtId="165" fontId="0" fillId="7" borderId="2" xfId="0" applyNumberFormat="1" applyFont="1" applyFill="1" applyBorder="1" applyAlignment="1">
      <alignment horizontal="center"/>
    </xf>
    <xf numFmtId="0" fontId="0" fillId="7" borderId="2" xfId="0" applyFont="1" applyFill="1" applyBorder="1" applyAlignment="1">
      <alignment horizontal="left" vertical="center"/>
    </xf>
    <xf numFmtId="0" fontId="0" fillId="0" borderId="1" xfId="0" applyFont="1" applyBorder="1" applyAlignment="1"/>
    <xf numFmtId="0" fontId="9" fillId="7" borderId="12" xfId="0" applyFont="1" applyFill="1" applyBorder="1" applyAlignment="1">
      <alignment horizontal="center" vertical="center"/>
    </xf>
    <xf numFmtId="0" fontId="0" fillId="7" borderId="19" xfId="0" applyFont="1" applyFill="1" applyBorder="1" applyAlignment="1">
      <alignment horizontal="center" vertical="center"/>
    </xf>
    <xf numFmtId="165" fontId="0" fillId="7" borderId="19" xfId="0" applyNumberFormat="1" applyFont="1" applyFill="1" applyBorder="1" applyAlignment="1">
      <alignment horizontal="center"/>
    </xf>
    <xf numFmtId="0" fontId="0" fillId="7" borderId="19" xfId="0" applyFont="1" applyFill="1" applyBorder="1" applyAlignment="1">
      <alignment horizontal="left" vertical="center"/>
    </xf>
    <xf numFmtId="0" fontId="0" fillId="7" borderId="13" xfId="0" applyFont="1" applyFill="1" applyBorder="1" applyAlignment="1"/>
    <xf numFmtId="0" fontId="9" fillId="7" borderId="14" xfId="0" applyFont="1" applyFill="1" applyBorder="1" applyAlignment="1">
      <alignment horizontal="center" vertical="center"/>
    </xf>
    <xf numFmtId="0" fontId="0" fillId="7" borderId="15" xfId="0" applyFont="1" applyFill="1" applyBorder="1" applyAlignment="1"/>
    <xf numFmtId="0" fontId="9" fillId="7" borderId="16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165" fontId="0" fillId="7" borderId="18" xfId="0" applyNumberFormat="1" applyFont="1" applyFill="1" applyBorder="1" applyAlignment="1">
      <alignment horizontal="center"/>
    </xf>
    <xf numFmtId="0" fontId="0" fillId="7" borderId="18" xfId="0" applyFont="1" applyFill="1" applyBorder="1" applyAlignment="1">
      <alignment horizontal="left" vertical="center"/>
    </xf>
    <xf numFmtId="0" fontId="0" fillId="7" borderId="17" xfId="0" applyFont="1" applyFill="1" applyBorder="1" applyAlignment="1"/>
    <xf numFmtId="0" fontId="0" fillId="7" borderId="19" xfId="0" applyFont="1" applyFill="1" applyBorder="1" applyAlignment="1">
      <alignment horizontal="right" vertical="center"/>
    </xf>
    <xf numFmtId="0" fontId="0" fillId="7" borderId="2" xfId="0" applyFont="1" applyFill="1" applyBorder="1" applyAlignment="1">
      <alignment horizontal="right" vertical="center"/>
    </xf>
    <xf numFmtId="0" fontId="0" fillId="7" borderId="18" xfId="0" applyFont="1" applyFill="1" applyBorder="1" applyAlignment="1">
      <alignment horizontal="right" vertical="center"/>
    </xf>
    <xf numFmtId="0" fontId="0" fillId="0" borderId="0" xfId="0" applyFont="1" applyAlignment="1">
      <alignment horizontal="right"/>
    </xf>
    <xf numFmtId="164" fontId="0" fillId="8" borderId="19" xfId="0" applyNumberFormat="1" applyFont="1" applyFill="1" applyBorder="1" applyAlignment="1">
      <alignment horizontal="right"/>
    </xf>
    <xf numFmtId="164" fontId="0" fillId="8" borderId="2" xfId="0" applyNumberFormat="1" applyFont="1" applyFill="1" applyBorder="1" applyAlignment="1">
      <alignment horizontal="right"/>
    </xf>
    <xf numFmtId="164" fontId="0" fillId="8" borderId="18" xfId="0" applyNumberFormat="1" applyFont="1" applyFill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166" fontId="15" fillId="6" borderId="0" xfId="0" applyNumberFormat="1" applyFont="1" applyFill="1" applyAlignment="1"/>
    <xf numFmtId="166" fontId="0" fillId="0" borderId="0" xfId="0" applyNumberFormat="1" applyFont="1" applyAlignment="1"/>
    <xf numFmtId="0" fontId="15" fillId="9" borderId="0" xfId="0" applyFont="1" applyFill="1" applyBorder="1" applyAlignment="1">
      <alignment horizontal="center" vertical="center"/>
    </xf>
    <xf numFmtId="0" fontId="13" fillId="0" borderId="0" xfId="0" applyFont="1" applyAlignment="1"/>
    <xf numFmtId="164" fontId="13" fillId="8" borderId="2" xfId="0" applyNumberFormat="1" applyFont="1" applyFill="1" applyBorder="1" applyAlignment="1">
      <alignment horizontal="right"/>
    </xf>
    <xf numFmtId="0" fontId="13" fillId="0" borderId="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23" xfId="0" applyFont="1" applyBorder="1" applyAlignment="1"/>
    <xf numFmtId="0" fontId="16" fillId="6" borderId="24" xfId="0" applyFont="1" applyFill="1" applyBorder="1" applyAlignment="1"/>
    <xf numFmtId="0" fontId="16" fillId="6" borderId="0" xfId="0" applyFont="1" applyFill="1" applyBorder="1" applyAlignment="1"/>
    <xf numFmtId="0" fontId="0" fillId="0" borderId="25" xfId="0" applyFont="1" applyBorder="1" applyAlignment="1"/>
    <xf numFmtId="0" fontId="0" fillId="0" borderId="24" xfId="0" applyFont="1" applyBorder="1" applyAlignment="1"/>
    <xf numFmtId="0" fontId="16" fillId="10" borderId="24" xfId="0" applyFont="1" applyFill="1" applyBorder="1" applyAlignment="1"/>
    <xf numFmtId="0" fontId="16" fillId="10" borderId="0" xfId="0" applyFont="1" applyFill="1" applyBorder="1" applyAlignment="1"/>
    <xf numFmtId="0" fontId="13" fillId="0" borderId="24" xfId="0" applyFont="1" applyBorder="1" applyAlignment="1"/>
    <xf numFmtId="0" fontId="17" fillId="0" borderId="0" xfId="0" applyFont="1" applyBorder="1" applyAlignment="1"/>
    <xf numFmtId="0" fontId="17" fillId="0" borderId="25" xfId="0" applyFont="1" applyBorder="1" applyAlignment="1"/>
    <xf numFmtId="0" fontId="18" fillId="0" borderId="0" xfId="0" applyFont="1" applyBorder="1" applyAlignment="1"/>
    <xf numFmtId="0" fontId="10" fillId="0" borderId="0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28" xfId="0" applyFont="1" applyBorder="1" applyAlignment="1"/>
    <xf numFmtId="0" fontId="0" fillId="0" borderId="29" xfId="0" applyFont="1" applyBorder="1" applyAlignment="1"/>
    <xf numFmtId="0" fontId="0" fillId="0" borderId="20" xfId="0" applyFont="1" applyBorder="1" applyAlignment="1"/>
    <xf numFmtId="0" fontId="0" fillId="0" borderId="30" xfId="0" applyFont="1" applyBorder="1" applyAlignment="1"/>
    <xf numFmtId="0" fontId="13" fillId="7" borderId="15" xfId="0" applyFont="1" applyFill="1" applyBorder="1" applyAlignment="1"/>
    <xf numFmtId="164" fontId="15" fillId="9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dd\-mm\-yyyy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6" formatCode="&quot;$&quot;#,##0"/>
      <alignment horizontal="general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776B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5" totalsRowShown="0" headerRowDxfId="49" dataDxfId="47" headerRowBorderDxfId="48" tableBorderDxfId="46" totalsRowBorderDxfId="45">
  <autoFilter ref="A1:F35"/>
  <tableColumns count="6">
    <tableColumn id="1" name="Product ID" dataDxfId="44"/>
    <tableColumn id="2" name="Product Name" dataDxfId="43"/>
    <tableColumn id="3" name="Brand Name" dataDxfId="42"/>
    <tableColumn id="4" name="Price ($)" dataDxfId="41"/>
    <tableColumn id="5" name="Quantity" dataDxfId="40"/>
    <tableColumn id="6" name="Category" dataDxfId="39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G32" totalsRowShown="0" headerRowDxfId="36" dataDxfId="34" headerRowBorderDxfId="35" tableBorderDxfId="33" totalsRowBorderDxfId="32">
  <autoFilter ref="A1:G32"/>
  <tableColumns count="7">
    <tableColumn id="1" name="Product ID" dataDxfId="31"/>
    <tableColumn id="2" name="Product Name" dataDxfId="30"/>
    <tableColumn id="3" name="Brand Name" dataDxfId="29"/>
    <tableColumn id="4" name="Price ($)" dataDxfId="28"/>
    <tableColumn id="5" name="Quantity" dataDxfId="27"/>
    <tableColumn id="6" name="Category" dataDxfId="26"/>
    <tableColumn id="7" name="Product &amp; Brand Name" dataDxfId="25">
      <calculatedColumnFormula>PROPER(CONCATENATE(J2," ",I2))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H1:U32" totalsRowShown="0" headerRowDxfId="24" tableBorderDxfId="23">
  <autoFilter ref="H1:U32"/>
  <tableColumns count="14">
    <tableColumn id="1" name="Price1" dataDxfId="22">
      <calculatedColumnFormula>IF(ISBLANK(D2),AVERAGE($D$2:$D$32),D2)</calculatedColumnFormula>
    </tableColumn>
    <tableColumn id="2" name="Name1">
      <calculatedColumnFormula>TRIM(B2:B31)</calculatedColumnFormula>
    </tableColumn>
    <tableColumn id="3" name="Name2">
      <calculatedColumnFormula>TRIM(C2)</calculatedColumnFormula>
    </tableColumn>
    <tableColumn id="4" name="Product &amp; Brand cleaned">
      <calculatedColumnFormula>CLEAN(G2)</calculatedColumnFormula>
    </tableColumn>
    <tableColumn id="5" name="Category c">
      <calculatedColumnFormula>IF(ISBLANK(F2),"Electronics",F2)</calculatedColumnFormula>
    </tableColumn>
    <tableColumn id="6" name="Category cleaned">
      <calculatedColumnFormula>TRIM(L2)</calculatedColumnFormula>
    </tableColumn>
    <tableColumn id="7" name="trim">
      <calculatedColumnFormula>TRIM(A2)</calculatedColumnFormula>
    </tableColumn>
    <tableColumn id="8" name="clean">
      <calculatedColumnFormula>CLEAN(N2)</calculatedColumnFormula>
    </tableColumn>
    <tableColumn id="9" name="Manufacturing Date" dataDxfId="21">
      <calculatedColumnFormula>LEFT(O2,6)</calculatedColumnFormula>
    </tableColumn>
    <tableColumn id="10" name="Country Code" dataDxfId="20">
      <calculatedColumnFormula>RIGHT(O2,2)</calculatedColumnFormula>
    </tableColumn>
    <tableColumn id="11" name="DD-MM-YYYY" dataDxfId="19">
      <calculatedColumnFormula>DATE(2025,MONTH(P2),DAY(P2))</calculatedColumnFormula>
    </tableColumn>
    <tableColumn id="12" name="product wise price" dataDxfId="18">
      <calculatedColumnFormula>IF(D2="",AVERAGEIF($B$2:$B$32,B2,$D$2:$D$32),D2)</calculatedColumnFormula>
    </tableColumn>
    <tableColumn id="13" name="Price Cleaned" dataDxfId="17">
      <calculatedColumnFormula>IFERROR(IF(D2="",AVERAGEIF($B$2:$B$32,B2,$D$2:$D$32),D2),"NO VALUE")</calculatedColumnFormula>
    </tableColumn>
    <tableColumn id="14" name="Category filled with if formula" dataDxfId="16">
      <calculatedColumnFormula>IF(ISBLANK(F2),"Electronics",F2)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H32" totalsRowShown="0" headerRowDxfId="10" dataDxfId="9" tableBorderDxfId="8">
  <autoFilter ref="A1:H32"/>
  <tableColumns count="8">
    <tableColumn id="1" name="Product_ID" dataDxfId="7"/>
    <tableColumn id="3" name="Manufacturing Date" dataDxfId="6"/>
    <tableColumn id="4" name="Country Code" dataDxfId="5">
      <calculatedColumnFormula>RIGHT(A2,2)</calculatedColumnFormula>
    </tableColumn>
    <tableColumn id="6" name="DD-MM-YYYY" dataDxfId="4">
      <calculatedColumnFormula>DATE(2025,MONTH(B2),DAY(B2))</calculatedColumnFormula>
    </tableColumn>
    <tableColumn id="5" name="Product Brand" dataDxfId="3"/>
    <tableColumn id="7" name="Price" dataDxfId="2"/>
    <tableColumn id="9" name="Quantity" dataDxfId="1"/>
    <tableColumn id="10" name="Catego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showGridLines="0" topLeftCell="B7" workbookViewId="0">
      <selection activeCell="I19" sqref="I19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3" ht="15.75" customHeight="1" x14ac:dyDescent="0.3">
      <c r="A1" s="1" t="s">
        <v>0</v>
      </c>
    </row>
    <row r="2" spans="1:13" ht="15.75" customHeight="1" x14ac:dyDescent="0.25"/>
    <row r="3" spans="1:13" ht="15.75" customHeight="1" x14ac:dyDescent="0.3">
      <c r="B3" s="2" t="s">
        <v>1</v>
      </c>
    </row>
    <row r="4" spans="1:13" ht="15.75" customHeight="1" x14ac:dyDescent="0.35">
      <c r="C4" s="23" t="s">
        <v>2</v>
      </c>
      <c r="D4" s="24"/>
      <c r="E4" s="24"/>
      <c r="F4" s="24"/>
      <c r="G4" s="24"/>
      <c r="H4" s="24"/>
      <c r="I4" s="24"/>
      <c r="J4" s="24"/>
      <c r="K4" s="24"/>
    </row>
    <row r="5" spans="1:13" ht="15.75" customHeight="1" x14ac:dyDescent="0.35">
      <c r="B5" s="3"/>
      <c r="C5" s="23" t="s">
        <v>3</v>
      </c>
      <c r="D5" s="24"/>
      <c r="E5" s="24"/>
      <c r="F5" s="24"/>
      <c r="G5" s="24"/>
      <c r="H5" s="24"/>
      <c r="I5" s="24"/>
      <c r="J5" s="24"/>
      <c r="K5" s="24"/>
    </row>
    <row r="6" spans="1:13" ht="15.75" customHeight="1" x14ac:dyDescent="0.35">
      <c r="B6" s="3"/>
      <c r="C6" s="24"/>
      <c r="D6" s="24"/>
      <c r="E6" s="24"/>
      <c r="F6" s="24"/>
      <c r="G6" s="24"/>
      <c r="H6" s="24"/>
      <c r="I6" s="24"/>
      <c r="J6" s="24"/>
      <c r="K6" s="24"/>
    </row>
    <row r="7" spans="1:13" ht="15.75" customHeight="1" x14ac:dyDescent="0.3">
      <c r="B7" s="2" t="s">
        <v>4</v>
      </c>
    </row>
    <row r="8" spans="1:13" ht="15.75" customHeight="1" x14ac:dyDescent="0.35">
      <c r="C8" s="23" t="s">
        <v>5</v>
      </c>
      <c r="D8" s="24"/>
      <c r="E8" s="24"/>
      <c r="F8" s="24"/>
      <c r="G8" s="24"/>
      <c r="H8" s="24"/>
    </row>
    <row r="9" spans="1:13" ht="15.75" customHeight="1" x14ac:dyDescent="0.35">
      <c r="C9" s="23" t="s">
        <v>6</v>
      </c>
      <c r="D9" s="24"/>
      <c r="E9" s="24"/>
      <c r="F9" s="24"/>
    </row>
    <row r="10" spans="1:13" ht="15.75" customHeight="1" x14ac:dyDescent="0.35">
      <c r="C10" s="23" t="s">
        <v>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15.75" customHeight="1" x14ac:dyDescent="0.35">
      <c r="B11" s="3"/>
    </row>
    <row r="12" spans="1:13" ht="15.75" customHeight="1" x14ac:dyDescent="0.3">
      <c r="B12" s="2" t="s">
        <v>8</v>
      </c>
    </row>
    <row r="13" spans="1:13" ht="15.75" customHeight="1" x14ac:dyDescent="0.35">
      <c r="B13" s="2"/>
      <c r="C13" s="23" t="s">
        <v>9</v>
      </c>
      <c r="D13" s="24"/>
      <c r="E13" s="24"/>
      <c r="F13" s="24"/>
      <c r="G13" s="24"/>
      <c r="H13" s="24"/>
      <c r="I13" s="24"/>
      <c r="J13" s="24"/>
    </row>
    <row r="14" spans="1:13" ht="15.75" customHeight="1" x14ac:dyDescent="0.25"/>
    <row r="15" spans="1:13" ht="15.75" customHeight="1" x14ac:dyDescent="0.3">
      <c r="B15" s="4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3" ht="15.75" customHeight="1" x14ac:dyDescent="0.35">
      <c r="B16" s="5"/>
      <c r="C16" s="26" t="s">
        <v>11</v>
      </c>
      <c r="D16" s="27"/>
      <c r="E16" s="27"/>
      <c r="F16" s="27"/>
      <c r="G16" s="27"/>
      <c r="H16" s="27"/>
      <c r="I16" s="27"/>
      <c r="J16" s="27"/>
      <c r="K16" s="27"/>
      <c r="L16" s="24"/>
      <c r="M16" s="24"/>
    </row>
    <row r="17" spans="2:11" ht="15.75" customHeight="1" x14ac:dyDescent="0.35">
      <c r="B17" s="5"/>
      <c r="C17" s="26" t="s">
        <v>12</v>
      </c>
      <c r="D17" s="27"/>
      <c r="E17" s="27"/>
      <c r="F17" s="27"/>
      <c r="G17" s="27"/>
      <c r="H17" s="27"/>
      <c r="I17" s="27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4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26" t="s">
        <v>14</v>
      </c>
      <c r="D20" s="27"/>
      <c r="E20" s="27"/>
      <c r="F20" s="27"/>
      <c r="G20" s="27"/>
      <c r="H20" s="5"/>
      <c r="I20" s="5"/>
      <c r="J20" s="5"/>
      <c r="K20" s="5"/>
    </row>
    <row r="21" spans="2:11" ht="15.75" customHeight="1" x14ac:dyDescent="0.35">
      <c r="B21" s="5"/>
      <c r="C21" s="6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4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26" t="s">
        <v>17</v>
      </c>
      <c r="D24" s="27"/>
      <c r="E24" s="27"/>
      <c r="F24" s="27"/>
      <c r="G24" s="27"/>
      <c r="H24" s="27"/>
      <c r="I24" s="5"/>
      <c r="J24" s="5"/>
      <c r="K24" s="5"/>
    </row>
    <row r="25" spans="2:11" ht="15.75" customHeight="1" x14ac:dyDescent="0.35">
      <c r="B25" s="5"/>
      <c r="C25" s="36" t="s">
        <v>18</v>
      </c>
      <c r="D25" s="37"/>
      <c r="E25" s="37"/>
      <c r="F25" s="37"/>
      <c r="G25" s="37"/>
      <c r="H25" s="37"/>
      <c r="I25" s="37"/>
      <c r="J25" s="37"/>
      <c r="K25" s="37"/>
    </row>
    <row r="26" spans="2:11" ht="15.75" customHeight="1" x14ac:dyDescent="0.35">
      <c r="B26" s="5"/>
      <c r="C26" s="6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7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spans="6:9" ht="15.75" customHeight="1" x14ac:dyDescent="0.25">
      <c r="F33" s="21"/>
    </row>
    <row r="34" spans="6:9" ht="15.75" customHeight="1" x14ac:dyDescent="0.25"/>
    <row r="35" spans="6:9" ht="15.75" customHeight="1" x14ac:dyDescent="0.25"/>
    <row r="36" spans="6:9" ht="15.75" customHeight="1" x14ac:dyDescent="0.25">
      <c r="I36" s="24"/>
    </row>
    <row r="37" spans="6:9" ht="15.75" customHeight="1" x14ac:dyDescent="0.25"/>
    <row r="38" spans="6:9" ht="15.75" customHeight="1" x14ac:dyDescent="0.25"/>
    <row r="39" spans="6:9" ht="15.75" customHeight="1" x14ac:dyDescent="0.25"/>
    <row r="40" spans="6:9" ht="15.75" customHeight="1" x14ac:dyDescent="0.25"/>
    <row r="41" spans="6:9" ht="15.75" customHeight="1" x14ac:dyDescent="0.25"/>
    <row r="42" spans="6:9" ht="15.75" customHeight="1" x14ac:dyDescent="0.25"/>
    <row r="43" spans="6:9" ht="15.75" customHeight="1" x14ac:dyDescent="0.25"/>
    <row r="44" spans="6:9" ht="15.75" customHeight="1" x14ac:dyDescent="0.25"/>
    <row r="45" spans="6:9" ht="15.75" customHeight="1" x14ac:dyDescent="0.25"/>
    <row r="46" spans="6:9" ht="15.75" customHeight="1" x14ac:dyDescent="0.25"/>
    <row r="47" spans="6:9" ht="15.75" customHeight="1" x14ac:dyDescent="0.25"/>
    <row r="48" spans="6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zoomScale="57" zoomScaleNormal="57" workbookViewId="0">
      <selection activeCell="G30" sqref="G30"/>
    </sheetView>
  </sheetViews>
  <sheetFormatPr defaultColWidth="12.6328125" defaultRowHeight="15" customHeight="1" x14ac:dyDescent="0.25"/>
  <cols>
    <col min="1" max="1" width="14.453125" customWidth="1"/>
    <col min="2" max="2" width="17.6328125" customWidth="1"/>
    <col min="3" max="3" width="15.90625" customWidth="1"/>
    <col min="4" max="4" width="12.54296875" customWidth="1"/>
    <col min="5" max="5" width="12.7265625" customWidth="1"/>
    <col min="6" max="6" width="13.1796875" customWidth="1"/>
  </cols>
  <sheetData>
    <row r="1" spans="1:16" ht="15.75" customHeight="1" x14ac:dyDescent="0.3">
      <c r="A1" s="14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6" t="s">
        <v>24</v>
      </c>
    </row>
    <row r="2" spans="1:16" ht="15.75" customHeight="1" x14ac:dyDescent="0.25">
      <c r="A2" s="10" t="s">
        <v>25</v>
      </c>
      <c r="B2" s="8" t="s">
        <v>26</v>
      </c>
      <c r="C2" s="8" t="s">
        <v>27</v>
      </c>
      <c r="D2" s="8">
        <v>1000</v>
      </c>
      <c r="E2" s="8">
        <v>30</v>
      </c>
      <c r="F2" s="12" t="s">
        <v>28</v>
      </c>
    </row>
    <row r="3" spans="1:16" ht="15.75" customHeight="1" x14ac:dyDescent="0.3">
      <c r="A3" s="11" t="s">
        <v>29</v>
      </c>
      <c r="B3" s="9" t="s">
        <v>30</v>
      </c>
      <c r="C3" s="9" t="s">
        <v>31</v>
      </c>
      <c r="D3" s="9">
        <v>80</v>
      </c>
      <c r="E3" s="9">
        <v>15</v>
      </c>
      <c r="F3" s="13" t="s">
        <v>32</v>
      </c>
      <c r="I3" s="4"/>
      <c r="J3" s="20"/>
      <c r="K3" s="5"/>
      <c r="L3" s="5"/>
      <c r="M3" s="5"/>
      <c r="N3" s="5"/>
      <c r="O3" s="5"/>
      <c r="P3" s="5"/>
    </row>
    <row r="4" spans="1:16" ht="15.75" customHeight="1" x14ac:dyDescent="0.35">
      <c r="A4" s="10" t="s">
        <v>33</v>
      </c>
      <c r="B4" s="8" t="s">
        <v>34</v>
      </c>
      <c r="C4" s="8" t="s">
        <v>35</v>
      </c>
      <c r="D4" s="8">
        <v>130</v>
      </c>
      <c r="E4" s="8">
        <v>40</v>
      </c>
      <c r="F4" s="12" t="s">
        <v>36</v>
      </c>
      <c r="I4" s="5"/>
      <c r="J4" s="6"/>
      <c r="K4" s="5"/>
      <c r="L4" s="5"/>
      <c r="M4" s="5"/>
      <c r="N4" s="5"/>
      <c r="O4" s="5"/>
      <c r="P4" s="5"/>
    </row>
    <row r="5" spans="1:16" ht="15.75" customHeight="1" x14ac:dyDescent="0.35">
      <c r="A5" s="11" t="s">
        <v>37</v>
      </c>
      <c r="B5" s="9" t="s">
        <v>38</v>
      </c>
      <c r="C5" s="9" t="s">
        <v>39</v>
      </c>
      <c r="D5" s="9">
        <v>900</v>
      </c>
      <c r="E5" s="9">
        <v>25</v>
      </c>
      <c r="F5" s="13" t="s">
        <v>28</v>
      </c>
      <c r="I5" s="5"/>
      <c r="J5" s="6"/>
      <c r="K5" s="5"/>
      <c r="L5" s="5"/>
      <c r="M5" s="5"/>
      <c r="N5" s="5"/>
      <c r="O5" s="5"/>
      <c r="P5" s="5"/>
    </row>
    <row r="6" spans="1:16" ht="15.75" customHeight="1" x14ac:dyDescent="0.25">
      <c r="A6" s="10" t="s">
        <v>40</v>
      </c>
      <c r="B6" s="8" t="s">
        <v>41</v>
      </c>
      <c r="C6" s="8" t="s">
        <v>42</v>
      </c>
      <c r="D6" s="8">
        <v>70</v>
      </c>
      <c r="E6" s="8">
        <v>20</v>
      </c>
      <c r="F6" s="12"/>
    </row>
    <row r="7" spans="1:16" ht="15.75" customHeight="1" x14ac:dyDescent="0.25">
      <c r="A7" s="11" t="s">
        <v>43</v>
      </c>
      <c r="B7" s="9" t="s">
        <v>44</v>
      </c>
      <c r="C7" s="9" t="s">
        <v>45</v>
      </c>
      <c r="D7" s="9"/>
      <c r="E7" s="9">
        <v>45</v>
      </c>
      <c r="F7" s="13" t="s">
        <v>46</v>
      </c>
    </row>
    <row r="8" spans="1:16" ht="15.75" customHeight="1" x14ac:dyDescent="0.25">
      <c r="A8" s="10" t="s">
        <v>47</v>
      </c>
      <c r="B8" s="8" t="s">
        <v>48</v>
      </c>
      <c r="C8" s="8" t="s">
        <v>49</v>
      </c>
      <c r="D8" s="8">
        <v>30</v>
      </c>
      <c r="E8" s="8">
        <v>5</v>
      </c>
      <c r="F8" s="12" t="s">
        <v>32</v>
      </c>
    </row>
    <row r="9" spans="1:16" ht="15.75" customHeight="1" x14ac:dyDescent="0.25">
      <c r="A9" s="11" t="s">
        <v>50</v>
      </c>
      <c r="B9" s="9" t="s">
        <v>51</v>
      </c>
      <c r="C9" s="9" t="s">
        <v>52</v>
      </c>
      <c r="D9" s="9">
        <v>90</v>
      </c>
      <c r="E9" s="9">
        <v>35</v>
      </c>
      <c r="F9" s="13" t="s">
        <v>36</v>
      </c>
    </row>
    <row r="10" spans="1:16" ht="15.75" customHeight="1" x14ac:dyDescent="0.25">
      <c r="A10" s="10" t="s">
        <v>53</v>
      </c>
      <c r="B10" s="8" t="s">
        <v>54</v>
      </c>
      <c r="C10" s="8" t="s">
        <v>55</v>
      </c>
      <c r="D10" s="8">
        <v>500</v>
      </c>
      <c r="E10" s="8">
        <v>50</v>
      </c>
      <c r="F10" s="12" t="s">
        <v>28</v>
      </c>
    </row>
    <row r="11" spans="1:16" ht="15.75" customHeight="1" x14ac:dyDescent="0.25">
      <c r="A11" s="11" t="s">
        <v>56</v>
      </c>
      <c r="B11" s="9" t="s">
        <v>57</v>
      </c>
      <c r="C11" s="9" t="s">
        <v>58</v>
      </c>
      <c r="D11" s="9">
        <v>130</v>
      </c>
      <c r="E11" s="9">
        <v>10</v>
      </c>
      <c r="F11" s="13" t="s">
        <v>59</v>
      </c>
    </row>
    <row r="12" spans="1:16" ht="15.75" customHeight="1" x14ac:dyDescent="0.25">
      <c r="A12" s="10" t="s">
        <v>60</v>
      </c>
      <c r="B12" s="8" t="s">
        <v>61</v>
      </c>
      <c r="C12" s="8" t="s">
        <v>62</v>
      </c>
      <c r="D12" s="8">
        <v>950</v>
      </c>
      <c r="E12" s="8">
        <v>25</v>
      </c>
      <c r="F12" s="12" t="s">
        <v>28</v>
      </c>
    </row>
    <row r="13" spans="1:16" ht="15.75" customHeight="1" x14ac:dyDescent="0.25">
      <c r="A13" s="11" t="s">
        <v>63</v>
      </c>
      <c r="B13" s="9" t="s">
        <v>30</v>
      </c>
      <c r="C13" s="9" t="s">
        <v>49</v>
      </c>
      <c r="D13" s="9">
        <v>90</v>
      </c>
      <c r="E13" s="9">
        <v>40</v>
      </c>
      <c r="F13" s="13"/>
    </row>
    <row r="14" spans="1:16" ht="15.75" customHeight="1" x14ac:dyDescent="0.25">
      <c r="A14" s="10" t="s">
        <v>64</v>
      </c>
      <c r="B14" s="8" t="s">
        <v>34</v>
      </c>
      <c r="C14" s="8" t="s">
        <v>65</v>
      </c>
      <c r="D14" s="8">
        <v>120</v>
      </c>
      <c r="E14" s="8">
        <v>35</v>
      </c>
      <c r="F14" s="12"/>
    </row>
    <row r="15" spans="1:16" ht="15.75" customHeight="1" x14ac:dyDescent="0.25">
      <c r="A15" s="11" t="s">
        <v>66</v>
      </c>
      <c r="B15" s="9" t="s">
        <v>67</v>
      </c>
      <c r="C15" s="9" t="s">
        <v>68</v>
      </c>
      <c r="D15" s="9">
        <v>150</v>
      </c>
      <c r="E15" s="9">
        <v>15</v>
      </c>
      <c r="F15" s="13" t="s">
        <v>46</v>
      </c>
    </row>
    <row r="16" spans="1:16" ht="15.75" customHeight="1" x14ac:dyDescent="0.25">
      <c r="A16" s="10" t="s">
        <v>69</v>
      </c>
      <c r="B16" s="8" t="s">
        <v>70</v>
      </c>
      <c r="C16" s="8" t="s">
        <v>71</v>
      </c>
      <c r="D16" s="8">
        <v>250</v>
      </c>
      <c r="E16" s="8">
        <v>20</v>
      </c>
      <c r="F16" s="12" t="s">
        <v>46</v>
      </c>
    </row>
    <row r="17" spans="1:6" ht="15.75" customHeight="1" x14ac:dyDescent="0.25">
      <c r="A17" s="11" t="s">
        <v>72</v>
      </c>
      <c r="B17" s="9" t="s">
        <v>73</v>
      </c>
      <c r="C17" s="9" t="s">
        <v>74</v>
      </c>
      <c r="D17" s="9">
        <v>50</v>
      </c>
      <c r="E17" s="9">
        <v>35</v>
      </c>
      <c r="F17" s="13" t="s">
        <v>75</v>
      </c>
    </row>
    <row r="18" spans="1:6" ht="15.75" customHeight="1" x14ac:dyDescent="0.25">
      <c r="A18" s="10" t="s">
        <v>76</v>
      </c>
      <c r="B18" s="8" t="s">
        <v>67</v>
      </c>
      <c r="C18" s="8" t="s">
        <v>77</v>
      </c>
      <c r="D18" s="8">
        <v>160</v>
      </c>
      <c r="E18" s="8">
        <v>15</v>
      </c>
      <c r="F18" s="12" t="s">
        <v>46</v>
      </c>
    </row>
    <row r="19" spans="1:6" ht="15.75" customHeight="1" x14ac:dyDescent="0.25">
      <c r="A19" s="11" t="s">
        <v>78</v>
      </c>
      <c r="B19" s="9" t="s">
        <v>26</v>
      </c>
      <c r="C19" s="9" t="s">
        <v>79</v>
      </c>
      <c r="D19" s="9">
        <v>980</v>
      </c>
      <c r="E19" s="9">
        <v>10</v>
      </c>
      <c r="F19" s="13" t="s">
        <v>28</v>
      </c>
    </row>
    <row r="20" spans="1:6" ht="15.75" customHeight="1" x14ac:dyDescent="0.25">
      <c r="A20" s="10" t="s">
        <v>80</v>
      </c>
      <c r="B20" s="8" t="s">
        <v>81</v>
      </c>
      <c r="C20" s="8" t="s">
        <v>82</v>
      </c>
      <c r="D20" s="8">
        <v>150</v>
      </c>
      <c r="E20" s="8">
        <v>15</v>
      </c>
      <c r="F20" s="12" t="s">
        <v>32</v>
      </c>
    </row>
    <row r="21" spans="1:6" ht="15.75" customHeight="1" x14ac:dyDescent="0.25">
      <c r="A21" s="11" t="s">
        <v>83</v>
      </c>
      <c r="B21" s="9" t="s">
        <v>84</v>
      </c>
      <c r="C21" s="9" t="s">
        <v>85</v>
      </c>
      <c r="D21" s="9"/>
      <c r="E21" s="9">
        <v>10</v>
      </c>
      <c r="F21" s="13" t="s">
        <v>59</v>
      </c>
    </row>
    <row r="22" spans="1:6" ht="15.75" customHeight="1" x14ac:dyDescent="0.25">
      <c r="A22" s="10" t="s">
        <v>86</v>
      </c>
      <c r="B22" s="8" t="s">
        <v>87</v>
      </c>
      <c r="C22" s="8" t="s">
        <v>88</v>
      </c>
      <c r="D22" s="8">
        <v>700</v>
      </c>
      <c r="E22" s="8">
        <v>50</v>
      </c>
      <c r="F22" s="12" t="s">
        <v>28</v>
      </c>
    </row>
    <row r="23" spans="1:6" ht="15.75" customHeight="1" x14ac:dyDescent="0.25">
      <c r="A23" s="11" t="s">
        <v>89</v>
      </c>
      <c r="B23" s="9" t="s">
        <v>90</v>
      </c>
      <c r="C23" s="9" t="s">
        <v>91</v>
      </c>
      <c r="D23" s="9">
        <v>80</v>
      </c>
      <c r="E23" s="9">
        <v>20</v>
      </c>
      <c r="F23" s="13" t="s">
        <v>36</v>
      </c>
    </row>
    <row r="24" spans="1:6" ht="15.75" customHeight="1" x14ac:dyDescent="0.25">
      <c r="A24" s="10" t="s">
        <v>92</v>
      </c>
      <c r="B24" s="8" t="s">
        <v>93</v>
      </c>
      <c r="C24" s="8" t="s">
        <v>94</v>
      </c>
      <c r="D24" s="8">
        <v>150</v>
      </c>
      <c r="E24" s="8">
        <v>30</v>
      </c>
      <c r="F24" s="12"/>
    </row>
    <row r="25" spans="1:6" ht="15.75" customHeight="1" x14ac:dyDescent="0.25">
      <c r="A25" s="11" t="s">
        <v>72</v>
      </c>
      <c r="B25" s="9" t="s">
        <v>73</v>
      </c>
      <c r="C25" s="9" t="s">
        <v>74</v>
      </c>
      <c r="D25" s="9">
        <v>50</v>
      </c>
      <c r="E25" s="9">
        <v>35</v>
      </c>
      <c r="F25" s="13" t="s">
        <v>75</v>
      </c>
    </row>
    <row r="26" spans="1:6" ht="15.75" customHeight="1" x14ac:dyDescent="0.25">
      <c r="A26" s="10" t="s">
        <v>95</v>
      </c>
      <c r="B26" s="8" t="s">
        <v>96</v>
      </c>
      <c r="C26" s="8" t="s">
        <v>97</v>
      </c>
      <c r="D26" s="8">
        <v>800</v>
      </c>
      <c r="E26" s="8">
        <v>45</v>
      </c>
      <c r="F26" s="12" t="s">
        <v>28</v>
      </c>
    </row>
    <row r="27" spans="1:6" ht="15.75" customHeight="1" x14ac:dyDescent="0.25">
      <c r="A27" s="11" t="s">
        <v>98</v>
      </c>
      <c r="B27" s="9" t="s">
        <v>81</v>
      </c>
      <c r="C27" s="9" t="s">
        <v>99</v>
      </c>
      <c r="D27" s="9"/>
      <c r="E27" s="9">
        <v>25</v>
      </c>
      <c r="F27" s="13" t="s">
        <v>32</v>
      </c>
    </row>
    <row r="28" spans="1:6" ht="15.75" customHeight="1" x14ac:dyDescent="0.25">
      <c r="A28" s="10" t="s">
        <v>100</v>
      </c>
      <c r="B28" s="8" t="s">
        <v>51</v>
      </c>
      <c r="C28" s="8" t="s">
        <v>101</v>
      </c>
      <c r="D28" s="8">
        <v>400</v>
      </c>
      <c r="E28" s="8">
        <v>40</v>
      </c>
      <c r="F28" s="12" t="s">
        <v>36</v>
      </c>
    </row>
    <row r="29" spans="1:6" ht="15.75" customHeight="1" x14ac:dyDescent="0.25">
      <c r="A29" s="11" t="s">
        <v>69</v>
      </c>
      <c r="B29" s="9" t="s">
        <v>70</v>
      </c>
      <c r="C29" s="9" t="s">
        <v>71</v>
      </c>
      <c r="D29" s="9">
        <v>250</v>
      </c>
      <c r="E29" s="9">
        <v>20</v>
      </c>
      <c r="F29" s="13" t="s">
        <v>46</v>
      </c>
    </row>
    <row r="30" spans="1:6" ht="15.75" customHeight="1" x14ac:dyDescent="0.25">
      <c r="A30" s="10" t="s">
        <v>102</v>
      </c>
      <c r="B30" s="8" t="s">
        <v>103</v>
      </c>
      <c r="C30" s="8" t="s">
        <v>104</v>
      </c>
      <c r="D30" s="8">
        <v>60</v>
      </c>
      <c r="E30" s="8">
        <v>30</v>
      </c>
      <c r="F30" s="12" t="s">
        <v>32</v>
      </c>
    </row>
    <row r="31" spans="1:6" ht="15.75" customHeight="1" x14ac:dyDescent="0.25">
      <c r="A31" s="11" t="s">
        <v>105</v>
      </c>
      <c r="B31" s="9" t="s">
        <v>106</v>
      </c>
      <c r="C31" s="9" t="s">
        <v>107</v>
      </c>
      <c r="D31" s="9">
        <v>40</v>
      </c>
      <c r="E31" s="9">
        <v>10</v>
      </c>
      <c r="F31" s="13" t="s">
        <v>36</v>
      </c>
    </row>
    <row r="32" spans="1:6" ht="15.75" customHeight="1" x14ac:dyDescent="0.25">
      <c r="A32" s="10" t="s">
        <v>108</v>
      </c>
      <c r="B32" s="8" t="s">
        <v>93</v>
      </c>
      <c r="C32" s="8" t="s">
        <v>109</v>
      </c>
      <c r="D32" s="8">
        <v>130</v>
      </c>
      <c r="E32" s="8">
        <v>5</v>
      </c>
      <c r="F32" s="12" t="s">
        <v>28</v>
      </c>
    </row>
    <row r="33" spans="1:6" ht="15.75" customHeight="1" x14ac:dyDescent="0.25">
      <c r="A33" s="11" t="s">
        <v>110</v>
      </c>
      <c r="B33" s="9" t="s">
        <v>111</v>
      </c>
      <c r="C33" s="9" t="s">
        <v>112</v>
      </c>
      <c r="D33" s="9">
        <v>50</v>
      </c>
      <c r="E33" s="9">
        <v>50</v>
      </c>
      <c r="F33" s="13" t="s">
        <v>32</v>
      </c>
    </row>
    <row r="34" spans="1:6" ht="15.75" customHeight="1" x14ac:dyDescent="0.25">
      <c r="A34" s="10" t="s">
        <v>60</v>
      </c>
      <c r="B34" s="8" t="s">
        <v>61</v>
      </c>
      <c r="C34" s="8" t="s">
        <v>62</v>
      </c>
      <c r="D34" s="8">
        <v>950</v>
      </c>
      <c r="E34" s="8">
        <v>25</v>
      </c>
      <c r="F34" s="12" t="s">
        <v>28</v>
      </c>
    </row>
    <row r="35" spans="1:6" ht="15.75" customHeight="1" x14ac:dyDescent="0.25">
      <c r="A35" s="17" t="s">
        <v>113</v>
      </c>
      <c r="B35" s="18" t="s">
        <v>114</v>
      </c>
      <c r="C35" s="18" t="s">
        <v>115</v>
      </c>
      <c r="D35" s="18">
        <v>100</v>
      </c>
      <c r="E35" s="18">
        <v>20</v>
      </c>
      <c r="F35" s="19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0"/>
  <sheetViews>
    <sheetView topLeftCell="B1" zoomScaleNormal="100" workbookViewId="0">
      <selection activeCell="S14" sqref="S14"/>
    </sheetView>
  </sheetViews>
  <sheetFormatPr defaultColWidth="12.6328125" defaultRowHeight="15" customHeight="1" x14ac:dyDescent="0.25"/>
  <cols>
    <col min="1" max="1" width="14.453125" customWidth="1"/>
    <col min="2" max="2" width="17.6328125" customWidth="1"/>
    <col min="3" max="3" width="15.90625" customWidth="1"/>
    <col min="4" max="4" width="12.54296875" customWidth="1"/>
    <col min="5" max="5" width="12.7265625" customWidth="1"/>
    <col min="6" max="6" width="13.1796875" customWidth="1"/>
    <col min="7" max="7" width="25.26953125" bestFit="1" customWidth="1"/>
    <col min="8" max="8" width="14.90625" style="67" bestFit="1" customWidth="1"/>
    <col min="9" max="9" width="13.36328125" bestFit="1" customWidth="1"/>
    <col min="11" max="11" width="26.26953125" bestFit="1" customWidth="1"/>
    <col min="12" max="12" width="15.36328125" bestFit="1" customWidth="1"/>
    <col min="13" max="13" width="18.1796875" bestFit="1" customWidth="1"/>
    <col min="16" max="16" width="18.36328125" style="25" customWidth="1"/>
    <col min="17" max="17" width="13.81640625" style="25" customWidth="1"/>
    <col min="18" max="18" width="14.81640625" style="39" customWidth="1"/>
    <col min="19" max="19" width="11.08984375" customWidth="1"/>
    <col min="20" max="20" width="11.26953125" customWidth="1"/>
    <col min="21" max="21" width="28.7265625" bestFit="1" customWidth="1"/>
  </cols>
  <sheetData>
    <row r="1" spans="1:21" ht="15.75" customHeight="1" x14ac:dyDescent="0.3">
      <c r="A1" s="14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6" t="s">
        <v>24</v>
      </c>
      <c r="G1" s="29" t="s">
        <v>117</v>
      </c>
      <c r="H1" s="66" t="s">
        <v>162</v>
      </c>
      <c r="I1" s="32" t="s">
        <v>126</v>
      </c>
      <c r="J1" s="32" t="s">
        <v>127</v>
      </c>
      <c r="K1" s="33" t="s">
        <v>124</v>
      </c>
      <c r="L1" s="28" t="s">
        <v>118</v>
      </c>
      <c r="M1" s="34" t="s">
        <v>119</v>
      </c>
      <c r="N1" s="32" t="s">
        <v>120</v>
      </c>
      <c r="O1" s="32" t="s">
        <v>121</v>
      </c>
      <c r="P1" s="35" t="s">
        <v>122</v>
      </c>
      <c r="Q1" s="35" t="s">
        <v>123</v>
      </c>
      <c r="R1" s="40" t="s">
        <v>125</v>
      </c>
      <c r="S1" t="s">
        <v>161</v>
      </c>
      <c r="T1" s="34" t="s">
        <v>116</v>
      </c>
      <c r="U1" s="34" t="s">
        <v>163</v>
      </c>
    </row>
    <row r="2" spans="1:21" ht="15.75" customHeight="1" x14ac:dyDescent="0.25">
      <c r="A2" s="10" t="s">
        <v>25</v>
      </c>
      <c r="B2" s="8" t="s">
        <v>26</v>
      </c>
      <c r="C2" s="8" t="s">
        <v>27</v>
      </c>
      <c r="D2" s="8">
        <v>1000</v>
      </c>
      <c r="E2" s="8">
        <v>30</v>
      </c>
      <c r="F2" s="12" t="s">
        <v>28</v>
      </c>
      <c r="G2" s="30" t="str">
        <f t="shared" ref="G2:G32" si="0">PROPER(CONCATENATE(J2," ",I2))</f>
        <v>Dell Laptop</v>
      </c>
      <c r="H2" s="67">
        <f t="shared" ref="H2:H32" si="1">IF(ISBLANK(D2),AVERAGE($D$2:$D$32),D2)</f>
        <v>1000</v>
      </c>
      <c r="I2" t="str">
        <f>TRIM(B2:B32)</f>
        <v>laptop</v>
      </c>
      <c r="J2" t="str">
        <f t="shared" ref="J2:J32" si="2">TRIM(C2)</f>
        <v>Dell</v>
      </c>
      <c r="K2" t="str">
        <f t="shared" ref="K2:K32" si="3">CLEAN(G2)</f>
        <v>Dell Laptop</v>
      </c>
      <c r="L2" t="str">
        <f t="shared" ref="L2:L32" si="4">IF(ISBLANK(F2),"Electronics",F2)</f>
        <v>Electronics</v>
      </c>
      <c r="M2" t="str">
        <f>TRIM(L2)</f>
        <v>Electronics</v>
      </c>
      <c r="N2" t="str">
        <f t="shared" ref="N2:N32" si="5">TRIM(A2)</f>
        <v>28-JAN-US</v>
      </c>
      <c r="O2" t="str">
        <f>CLEAN(N2)</f>
        <v>28-JAN-US</v>
      </c>
      <c r="P2" s="25" t="str">
        <f t="shared" ref="P2:P32" si="6">LEFT(O2,6)</f>
        <v>28-JAN</v>
      </c>
      <c r="Q2" s="25" t="str">
        <f>RIGHT(O2,2)</f>
        <v>US</v>
      </c>
      <c r="R2" s="39">
        <f t="shared" ref="R2:R32" si="7">DATE(2025,MONTH(P2),DAY(P2))</f>
        <v>45685</v>
      </c>
      <c r="S2">
        <f>IF(D2="",AVERAGEIF($B$2:$B$32,B2,$D$2:$D$32),D2)</f>
        <v>1000</v>
      </c>
      <c r="U2" s="69" t="str">
        <f>IF(ISBLANK(F2),"Electronics",F2)</f>
        <v>Electronics</v>
      </c>
    </row>
    <row r="3" spans="1:21" ht="15.75" customHeight="1" x14ac:dyDescent="0.25">
      <c r="A3" s="11" t="s">
        <v>29</v>
      </c>
      <c r="B3" s="9" t="s">
        <v>30</v>
      </c>
      <c r="C3" s="9" t="s">
        <v>31</v>
      </c>
      <c r="D3" s="9">
        <v>80</v>
      </c>
      <c r="E3" s="9">
        <v>15</v>
      </c>
      <c r="F3" s="13" t="s">
        <v>32</v>
      </c>
      <c r="G3" s="31" t="str">
        <f t="shared" si="0"/>
        <v>Nike Sneakers</v>
      </c>
      <c r="H3" s="67">
        <f t="shared" si="1"/>
        <v>80</v>
      </c>
      <c r="I3" t="str">
        <f t="shared" ref="I3:I32" si="8">TRIM(B3:B32)</f>
        <v>Sneakers</v>
      </c>
      <c r="J3" t="str">
        <f t="shared" si="2"/>
        <v>Nike</v>
      </c>
      <c r="K3" t="str">
        <f t="shared" si="3"/>
        <v>Nike Sneakers</v>
      </c>
      <c r="L3" t="str">
        <f t="shared" si="4"/>
        <v>Fashion</v>
      </c>
      <c r="M3" t="str">
        <f t="shared" ref="M3:M32" si="9">TRIM(L3)</f>
        <v>Fashion</v>
      </c>
      <c r="N3" t="str">
        <f t="shared" si="5"/>
        <v>15-FEB-US</v>
      </c>
      <c r="O3" t="str">
        <f t="shared" ref="O3:O32" si="10">CLEAN(N3)</f>
        <v>15-FEB-US</v>
      </c>
      <c r="P3" s="25" t="str">
        <f t="shared" si="6"/>
        <v>15-FEB</v>
      </c>
      <c r="Q3" s="25" t="str">
        <f t="shared" ref="Q3:Q32" si="11">RIGHT(O3,2)</f>
        <v>US</v>
      </c>
      <c r="R3" s="39">
        <f t="shared" si="7"/>
        <v>45703</v>
      </c>
      <c r="S3">
        <f>IF(D3="",AVERAGEIF($B$2:$B$32,B3,$D$2:$D$32),D3)</f>
        <v>80</v>
      </c>
      <c r="T3">
        <f t="shared" ref="T3:T32" si="12">IFERROR(IF(D3="",AVERAGEIF($B$2:$B$32,B3,$D$2:$D$32),D3),"NO VALUE")</f>
        <v>80</v>
      </c>
      <c r="U3" t="str">
        <f t="shared" ref="U3:U32" si="13">IF(ISBLANK(F3),"Electronics",F3)</f>
        <v>Fashion</v>
      </c>
    </row>
    <row r="4" spans="1:21" ht="15.75" customHeight="1" x14ac:dyDescent="0.25">
      <c r="A4" s="10" t="s">
        <v>33</v>
      </c>
      <c r="B4" s="8" t="s">
        <v>34</v>
      </c>
      <c r="C4" s="8" t="s">
        <v>35</v>
      </c>
      <c r="D4" s="8">
        <v>130</v>
      </c>
      <c r="E4" s="8">
        <v>40</v>
      </c>
      <c r="F4" s="12" t="s">
        <v>36</v>
      </c>
      <c r="G4" s="31" t="str">
        <f t="shared" si="0"/>
        <v>Keurig Coffee Maker</v>
      </c>
      <c r="H4" s="67">
        <f t="shared" si="1"/>
        <v>130</v>
      </c>
      <c r="I4" t="str">
        <f t="shared" si="8"/>
        <v>Coffee Maker</v>
      </c>
      <c r="J4" t="str">
        <f t="shared" si="2"/>
        <v>Keurig</v>
      </c>
      <c r="K4" t="str">
        <f t="shared" si="3"/>
        <v>Keurig Coffee Maker</v>
      </c>
      <c r="L4" t="str">
        <f t="shared" si="4"/>
        <v>Kitchen</v>
      </c>
      <c r="M4" t="str">
        <f t="shared" si="9"/>
        <v>Kitchen</v>
      </c>
      <c r="N4" t="str">
        <f t="shared" si="5"/>
        <v>03-MAR-US</v>
      </c>
      <c r="O4" t="str">
        <f t="shared" si="10"/>
        <v>03-MAR-US</v>
      </c>
      <c r="P4" s="25" t="str">
        <f t="shared" si="6"/>
        <v>03-MAR</v>
      </c>
      <c r="Q4" s="25" t="str">
        <f t="shared" si="11"/>
        <v>US</v>
      </c>
      <c r="R4" s="39">
        <f t="shared" si="7"/>
        <v>45719</v>
      </c>
      <c r="S4">
        <f t="shared" ref="S4:S32" si="14">IF(D4="",AVERAGEIF($B$2:$B$32,B4,$D$2:$D$32),D4)</f>
        <v>130</v>
      </c>
      <c r="T4">
        <f t="shared" si="12"/>
        <v>130</v>
      </c>
      <c r="U4" t="str">
        <f t="shared" si="13"/>
        <v>Kitchen</v>
      </c>
    </row>
    <row r="5" spans="1:21" ht="15.75" customHeight="1" x14ac:dyDescent="0.25">
      <c r="A5" s="11" t="s">
        <v>37</v>
      </c>
      <c r="B5" s="9" t="s">
        <v>38</v>
      </c>
      <c r="C5" s="9" t="s">
        <v>39</v>
      </c>
      <c r="D5" s="9">
        <v>900</v>
      </c>
      <c r="E5" s="9">
        <v>25</v>
      </c>
      <c r="F5" s="13" t="s">
        <v>28</v>
      </c>
      <c r="G5" s="31" t="str">
        <f t="shared" si="0"/>
        <v>Samsung Smartphone</v>
      </c>
      <c r="H5" s="67">
        <f t="shared" si="1"/>
        <v>900</v>
      </c>
      <c r="I5" t="str">
        <f t="shared" si="8"/>
        <v>smartphone</v>
      </c>
      <c r="J5" t="str">
        <f t="shared" si="2"/>
        <v>Samsung</v>
      </c>
      <c r="K5" t="str">
        <f t="shared" si="3"/>
        <v>Samsung Smartphone</v>
      </c>
      <c r="L5" t="str">
        <f t="shared" si="4"/>
        <v>Electronics</v>
      </c>
      <c r="M5" t="str">
        <f t="shared" si="9"/>
        <v>Electronics</v>
      </c>
      <c r="N5" t="str">
        <f t="shared" si="5"/>
        <v>11-APR-US</v>
      </c>
      <c r="O5" t="str">
        <f t="shared" si="10"/>
        <v>11-APR-US</v>
      </c>
      <c r="P5" s="25" t="str">
        <f t="shared" si="6"/>
        <v>11-APR</v>
      </c>
      <c r="Q5" s="25" t="str">
        <f t="shared" si="11"/>
        <v>US</v>
      </c>
      <c r="R5" s="39">
        <f t="shared" si="7"/>
        <v>45758</v>
      </c>
      <c r="S5">
        <f t="shared" si="14"/>
        <v>900</v>
      </c>
      <c r="T5">
        <f t="shared" si="12"/>
        <v>900</v>
      </c>
      <c r="U5" t="str">
        <f t="shared" si="13"/>
        <v>Electronics</v>
      </c>
    </row>
    <row r="6" spans="1:21" ht="15.75" customHeight="1" x14ac:dyDescent="0.25">
      <c r="A6" s="10" t="s">
        <v>40</v>
      </c>
      <c r="B6" s="8" t="s">
        <v>41</v>
      </c>
      <c r="C6" s="8" t="s">
        <v>42</v>
      </c>
      <c r="D6" s="8">
        <v>70</v>
      </c>
      <c r="E6" s="8">
        <v>20</v>
      </c>
      <c r="F6" s="12"/>
      <c r="G6" s="31" t="str">
        <f t="shared" si="0"/>
        <v>North Face Backpack</v>
      </c>
      <c r="H6" s="67">
        <f t="shared" si="1"/>
        <v>70</v>
      </c>
      <c r="I6" t="str">
        <f t="shared" si="8"/>
        <v>Backpack</v>
      </c>
      <c r="J6" t="str">
        <f t="shared" si="2"/>
        <v>North Face</v>
      </c>
      <c r="K6" t="str">
        <f t="shared" si="3"/>
        <v>North Face Backpack</v>
      </c>
      <c r="L6" t="str">
        <f t="shared" si="4"/>
        <v>Electronics</v>
      </c>
      <c r="M6" t="str">
        <f t="shared" si="9"/>
        <v>Electronics</v>
      </c>
      <c r="N6" t="str">
        <f t="shared" si="5"/>
        <v>22-MAY-US</v>
      </c>
      <c r="O6" t="str">
        <f t="shared" si="10"/>
        <v>22-MAY-US</v>
      </c>
      <c r="P6" s="25" t="str">
        <f t="shared" si="6"/>
        <v>22-MAY</v>
      </c>
      <c r="Q6" s="25" t="str">
        <f t="shared" si="11"/>
        <v>US</v>
      </c>
      <c r="R6" s="39">
        <f t="shared" si="7"/>
        <v>45799</v>
      </c>
      <c r="S6">
        <f t="shared" si="14"/>
        <v>70</v>
      </c>
      <c r="T6">
        <f t="shared" si="12"/>
        <v>70</v>
      </c>
      <c r="U6" t="str">
        <f t="shared" si="13"/>
        <v>Electronics</v>
      </c>
    </row>
    <row r="7" spans="1:21" ht="15.75" customHeight="1" x14ac:dyDescent="0.25">
      <c r="A7" s="11" t="s">
        <v>43</v>
      </c>
      <c r="B7" s="9" t="s">
        <v>44</v>
      </c>
      <c r="C7" s="9" t="s">
        <v>45</v>
      </c>
      <c r="D7" s="9"/>
      <c r="E7" s="9">
        <v>45</v>
      </c>
      <c r="F7" s="13" t="s">
        <v>28</v>
      </c>
      <c r="G7" s="31" t="str">
        <f t="shared" si="0"/>
        <v>Sony Headphones</v>
      </c>
      <c r="H7" s="67">
        <f t="shared" si="1"/>
        <v>297.85714285714283</v>
      </c>
      <c r="I7" t="str">
        <f t="shared" si="8"/>
        <v>Headphones</v>
      </c>
      <c r="J7" t="str">
        <f t="shared" si="2"/>
        <v>Sony</v>
      </c>
      <c r="K7" t="str">
        <f t="shared" si="3"/>
        <v>Sony Headphones</v>
      </c>
      <c r="L7" t="str">
        <f t="shared" si="4"/>
        <v>Electronics</v>
      </c>
      <c r="M7" t="str">
        <f t="shared" si="9"/>
        <v>Electronics</v>
      </c>
      <c r="N7" t="str">
        <f t="shared" si="5"/>
        <v>07-JUN-UK</v>
      </c>
      <c r="O7" t="str">
        <f t="shared" si="10"/>
        <v>07-JUN-UK</v>
      </c>
      <c r="P7" s="25" t="str">
        <f t="shared" si="6"/>
        <v>07-JUN</v>
      </c>
      <c r="Q7" s="25" t="str">
        <f t="shared" si="11"/>
        <v>UK</v>
      </c>
      <c r="R7" s="39">
        <f t="shared" si="7"/>
        <v>45815</v>
      </c>
      <c r="S7">
        <f t="shared" si="14"/>
        <v>250</v>
      </c>
      <c r="T7">
        <f t="shared" si="12"/>
        <v>250</v>
      </c>
      <c r="U7" t="str">
        <f t="shared" si="13"/>
        <v>Electronics</v>
      </c>
    </row>
    <row r="8" spans="1:21" ht="15.75" customHeight="1" x14ac:dyDescent="0.25">
      <c r="A8" s="10" t="s">
        <v>47</v>
      </c>
      <c r="B8" s="8" t="s">
        <v>48</v>
      </c>
      <c r="C8" s="8" t="s">
        <v>49</v>
      </c>
      <c r="D8" s="8">
        <v>30</v>
      </c>
      <c r="E8" s="8">
        <v>5</v>
      </c>
      <c r="F8" s="12" t="s">
        <v>32</v>
      </c>
      <c r="G8" s="31" t="str">
        <f t="shared" si="0"/>
        <v>Adidas T-Shirt</v>
      </c>
      <c r="H8" s="67">
        <f t="shared" si="1"/>
        <v>30</v>
      </c>
      <c r="I8" t="str">
        <f t="shared" si="8"/>
        <v>T-shirt</v>
      </c>
      <c r="J8" t="str">
        <f t="shared" si="2"/>
        <v>Adidas</v>
      </c>
      <c r="K8" t="str">
        <f t="shared" si="3"/>
        <v>Adidas T-Shirt</v>
      </c>
      <c r="L8" t="str">
        <f t="shared" si="4"/>
        <v>Fashion</v>
      </c>
      <c r="M8" t="str">
        <f t="shared" si="9"/>
        <v>Fashion</v>
      </c>
      <c r="N8" t="str">
        <f t="shared" si="5"/>
        <v>19-JUL-UK</v>
      </c>
      <c r="O8" t="str">
        <f t="shared" si="10"/>
        <v>19-JUL-UK</v>
      </c>
      <c r="P8" s="25" t="str">
        <f t="shared" si="6"/>
        <v>19-JUL</v>
      </c>
      <c r="Q8" s="25" t="str">
        <f t="shared" si="11"/>
        <v>UK</v>
      </c>
      <c r="R8" s="39">
        <f t="shared" si="7"/>
        <v>45857</v>
      </c>
      <c r="S8">
        <f t="shared" si="14"/>
        <v>30</v>
      </c>
      <c r="T8">
        <f t="shared" si="12"/>
        <v>30</v>
      </c>
      <c r="U8" t="str">
        <f t="shared" si="13"/>
        <v>Fashion</v>
      </c>
    </row>
    <row r="9" spans="1:21" ht="15.75" customHeight="1" x14ac:dyDescent="0.25">
      <c r="A9" s="11" t="s">
        <v>50</v>
      </c>
      <c r="B9" s="9" t="s">
        <v>51</v>
      </c>
      <c r="C9" s="9" t="s">
        <v>52</v>
      </c>
      <c r="D9" s="9">
        <v>90</v>
      </c>
      <c r="E9" s="9">
        <v>35</v>
      </c>
      <c r="F9" s="13" t="s">
        <v>36</v>
      </c>
      <c r="G9" s="31" t="str">
        <f t="shared" si="0"/>
        <v>Ninja Blender</v>
      </c>
      <c r="H9" s="67">
        <f t="shared" si="1"/>
        <v>90</v>
      </c>
      <c r="I9" t="str">
        <f t="shared" si="8"/>
        <v>Blender</v>
      </c>
      <c r="J9" t="str">
        <f t="shared" si="2"/>
        <v>Ninja</v>
      </c>
      <c r="K9" t="str">
        <f t="shared" si="3"/>
        <v>Ninja Blender</v>
      </c>
      <c r="L9" t="str">
        <f t="shared" si="4"/>
        <v>Kitchen</v>
      </c>
      <c r="M9" t="str">
        <f t="shared" si="9"/>
        <v>Kitchen</v>
      </c>
      <c r="N9" t="str">
        <f t="shared" si="5"/>
        <v>23-AUG-UK</v>
      </c>
      <c r="O9" t="str">
        <f t="shared" si="10"/>
        <v>23-AUG-UK</v>
      </c>
      <c r="P9" s="25" t="str">
        <f t="shared" si="6"/>
        <v>23-AUG</v>
      </c>
      <c r="Q9" s="25" t="str">
        <f t="shared" si="11"/>
        <v>UK</v>
      </c>
      <c r="R9" s="39">
        <f t="shared" si="7"/>
        <v>45892</v>
      </c>
      <c r="S9">
        <f t="shared" si="14"/>
        <v>90</v>
      </c>
      <c r="T9">
        <f t="shared" si="12"/>
        <v>90</v>
      </c>
      <c r="U9" t="str">
        <f t="shared" si="13"/>
        <v>Kitchen</v>
      </c>
    </row>
    <row r="10" spans="1:21" ht="15.75" customHeight="1" x14ac:dyDescent="0.25">
      <c r="A10" s="10" t="s">
        <v>53</v>
      </c>
      <c r="B10" s="8" t="s">
        <v>54</v>
      </c>
      <c r="C10" s="8" t="s">
        <v>55</v>
      </c>
      <c r="D10" s="8">
        <v>500</v>
      </c>
      <c r="E10" s="8">
        <v>50</v>
      </c>
      <c r="F10" s="12" t="s">
        <v>28</v>
      </c>
      <c r="G10" s="31" t="str">
        <f t="shared" si="0"/>
        <v>Apple Tablet</v>
      </c>
      <c r="H10" s="67">
        <f t="shared" si="1"/>
        <v>500</v>
      </c>
      <c r="I10" t="str">
        <f t="shared" si="8"/>
        <v>Tablet</v>
      </c>
      <c r="J10" t="str">
        <f t="shared" si="2"/>
        <v>Apple</v>
      </c>
      <c r="K10" t="str">
        <f t="shared" si="3"/>
        <v>Apple Tablet</v>
      </c>
      <c r="L10" t="str">
        <f t="shared" si="4"/>
        <v>Electronics</v>
      </c>
      <c r="M10" t="str">
        <f t="shared" si="9"/>
        <v>Electronics</v>
      </c>
      <c r="N10" t="str">
        <f t="shared" si="5"/>
        <v>05-SEP-UK</v>
      </c>
      <c r="O10" t="str">
        <f t="shared" si="10"/>
        <v>05-SEP-UK</v>
      </c>
      <c r="P10" s="25" t="str">
        <f t="shared" si="6"/>
        <v>05-SEP</v>
      </c>
      <c r="Q10" s="25" t="str">
        <f t="shared" si="11"/>
        <v>UK</v>
      </c>
      <c r="R10" s="39">
        <f t="shared" si="7"/>
        <v>45905</v>
      </c>
      <c r="S10">
        <f t="shared" si="14"/>
        <v>500</v>
      </c>
      <c r="T10">
        <f t="shared" si="12"/>
        <v>500</v>
      </c>
      <c r="U10" t="str">
        <f t="shared" si="13"/>
        <v>Electronics</v>
      </c>
    </row>
    <row r="11" spans="1:21" ht="15.75" customHeight="1" x14ac:dyDescent="0.25">
      <c r="A11" s="11" t="s">
        <v>56</v>
      </c>
      <c r="B11" s="9" t="s">
        <v>57</v>
      </c>
      <c r="C11" s="9" t="s">
        <v>58</v>
      </c>
      <c r="D11" s="9">
        <v>130</v>
      </c>
      <c r="E11" s="9">
        <v>10</v>
      </c>
      <c r="F11" s="13" t="s">
        <v>59</v>
      </c>
      <c r="G11" s="31" t="str">
        <f t="shared" si="0"/>
        <v>Timberland Hiking Boots</v>
      </c>
      <c r="H11" s="67">
        <f t="shared" si="1"/>
        <v>130</v>
      </c>
      <c r="I11" t="str">
        <f t="shared" si="8"/>
        <v>Hiking Boots</v>
      </c>
      <c r="J11" t="str">
        <f t="shared" si="2"/>
        <v>Timberland</v>
      </c>
      <c r="K11" t="str">
        <f t="shared" si="3"/>
        <v>Timberland Hiking Boots</v>
      </c>
      <c r="L11" t="str">
        <f t="shared" si="4"/>
        <v>Outdoor</v>
      </c>
      <c r="M11" t="str">
        <f t="shared" si="9"/>
        <v>Outdoor</v>
      </c>
      <c r="N11" t="str">
        <f t="shared" si="5"/>
        <v>14-OCT-UK</v>
      </c>
      <c r="O11" t="str">
        <f t="shared" si="10"/>
        <v>14-OCT-UK</v>
      </c>
      <c r="P11" s="25" t="str">
        <f t="shared" si="6"/>
        <v>14-OCT</v>
      </c>
      <c r="Q11" s="25" t="str">
        <f t="shared" si="11"/>
        <v>UK</v>
      </c>
      <c r="R11" s="39">
        <f t="shared" si="7"/>
        <v>45944</v>
      </c>
      <c r="S11">
        <f t="shared" si="14"/>
        <v>130</v>
      </c>
      <c r="T11">
        <f t="shared" si="12"/>
        <v>130</v>
      </c>
      <c r="U11" t="str">
        <f t="shared" si="13"/>
        <v>Outdoor</v>
      </c>
    </row>
    <row r="12" spans="1:21" ht="15.75" customHeight="1" x14ac:dyDescent="0.25">
      <c r="A12" s="10" t="s">
        <v>60</v>
      </c>
      <c r="B12" s="8" t="s">
        <v>61</v>
      </c>
      <c r="C12" s="8" t="s">
        <v>62</v>
      </c>
      <c r="D12" s="8">
        <v>950</v>
      </c>
      <c r="E12" s="8">
        <v>25</v>
      </c>
      <c r="F12" s="12" t="s">
        <v>28</v>
      </c>
      <c r="G12" s="31" t="str">
        <f t="shared" si="0"/>
        <v>Hp Laptop</v>
      </c>
      <c r="H12" s="67">
        <f t="shared" si="1"/>
        <v>950</v>
      </c>
      <c r="I12" t="str">
        <f t="shared" si="8"/>
        <v>Laptop</v>
      </c>
      <c r="J12" t="str">
        <f t="shared" si="2"/>
        <v>HP</v>
      </c>
      <c r="K12" t="str">
        <f t="shared" si="3"/>
        <v>Hp Laptop</v>
      </c>
      <c r="L12" t="str">
        <f t="shared" si="4"/>
        <v>Electronics</v>
      </c>
      <c r="M12" t="str">
        <f t="shared" si="9"/>
        <v>Electronics</v>
      </c>
      <c r="N12" t="str">
        <f t="shared" si="5"/>
        <v>17-JUN-IN</v>
      </c>
      <c r="O12" t="str">
        <f t="shared" si="10"/>
        <v>17-JUN-IN</v>
      </c>
      <c r="P12" s="25" t="str">
        <f t="shared" si="6"/>
        <v>17-JUN</v>
      </c>
      <c r="Q12" s="25" t="str">
        <f t="shared" si="11"/>
        <v>IN</v>
      </c>
      <c r="R12" s="39">
        <f t="shared" si="7"/>
        <v>45825</v>
      </c>
      <c r="S12">
        <f t="shared" si="14"/>
        <v>950</v>
      </c>
      <c r="T12">
        <f t="shared" si="12"/>
        <v>950</v>
      </c>
      <c r="U12" t="str">
        <f t="shared" si="13"/>
        <v>Electronics</v>
      </c>
    </row>
    <row r="13" spans="1:21" ht="15.75" customHeight="1" x14ac:dyDescent="0.25">
      <c r="A13" s="11" t="s">
        <v>63</v>
      </c>
      <c r="B13" s="9" t="s">
        <v>30</v>
      </c>
      <c r="C13" s="9" t="s">
        <v>49</v>
      </c>
      <c r="D13" s="9">
        <v>90</v>
      </c>
      <c r="E13" s="9">
        <v>40</v>
      </c>
      <c r="F13" s="13"/>
      <c r="G13" s="31" t="str">
        <f t="shared" si="0"/>
        <v>Adidas Sneakers</v>
      </c>
      <c r="H13" s="67">
        <f t="shared" si="1"/>
        <v>90</v>
      </c>
      <c r="I13" t="str">
        <f t="shared" si="8"/>
        <v>Sneakers</v>
      </c>
      <c r="J13" t="str">
        <f t="shared" si="2"/>
        <v>Adidas</v>
      </c>
      <c r="K13" t="str">
        <f t="shared" si="3"/>
        <v>Adidas Sneakers</v>
      </c>
      <c r="L13" t="str">
        <f t="shared" si="4"/>
        <v>Electronics</v>
      </c>
      <c r="M13" t="str">
        <f t="shared" si="9"/>
        <v>Electronics</v>
      </c>
      <c r="N13" t="str">
        <f t="shared" si="5"/>
        <v>25-NOV-AU</v>
      </c>
      <c r="O13" t="str">
        <f t="shared" si="10"/>
        <v>25-NOV-AU</v>
      </c>
      <c r="P13" s="25" t="str">
        <f t="shared" si="6"/>
        <v>25-NOV</v>
      </c>
      <c r="Q13" s="25" t="str">
        <f t="shared" si="11"/>
        <v>AU</v>
      </c>
      <c r="R13" s="39">
        <f t="shared" si="7"/>
        <v>45986</v>
      </c>
      <c r="S13">
        <f t="shared" si="14"/>
        <v>90</v>
      </c>
      <c r="T13">
        <f t="shared" si="12"/>
        <v>90</v>
      </c>
      <c r="U13" t="str">
        <f t="shared" si="13"/>
        <v>Electronics</v>
      </c>
    </row>
    <row r="14" spans="1:21" ht="15.75" customHeight="1" x14ac:dyDescent="0.25">
      <c r="A14" s="10" t="s">
        <v>64</v>
      </c>
      <c r="B14" s="8" t="s">
        <v>34</v>
      </c>
      <c r="C14" s="8" t="s">
        <v>65</v>
      </c>
      <c r="D14" s="8">
        <v>120</v>
      </c>
      <c r="E14" s="8">
        <v>35</v>
      </c>
      <c r="F14" s="12"/>
      <c r="G14" s="31" t="str">
        <f t="shared" si="0"/>
        <v>Nespresso Coffee Maker</v>
      </c>
      <c r="H14" s="67">
        <f t="shared" si="1"/>
        <v>120</v>
      </c>
      <c r="I14" t="str">
        <f t="shared" si="8"/>
        <v>Coffee Maker</v>
      </c>
      <c r="J14" t="str">
        <f t="shared" si="2"/>
        <v>Nespresso</v>
      </c>
      <c r="K14" t="str">
        <f t="shared" si="3"/>
        <v>Nespresso Coffee Maker</v>
      </c>
      <c r="L14" t="str">
        <f t="shared" si="4"/>
        <v>Electronics</v>
      </c>
      <c r="M14" t="str">
        <f t="shared" si="9"/>
        <v>Electronics</v>
      </c>
      <c r="N14" t="str">
        <f t="shared" si="5"/>
        <v>08-DEC-DE</v>
      </c>
      <c r="O14" t="str">
        <f t="shared" si="10"/>
        <v>08-DEC-DE</v>
      </c>
      <c r="P14" s="25" t="str">
        <f t="shared" si="6"/>
        <v>08-DEC</v>
      </c>
      <c r="Q14" s="25" t="str">
        <f t="shared" si="11"/>
        <v>DE</v>
      </c>
      <c r="R14" s="39">
        <f t="shared" si="7"/>
        <v>45999</v>
      </c>
      <c r="S14">
        <f t="shared" si="14"/>
        <v>120</v>
      </c>
      <c r="T14">
        <f t="shared" si="12"/>
        <v>120</v>
      </c>
      <c r="U14" t="str">
        <f t="shared" si="13"/>
        <v>Electronics</v>
      </c>
    </row>
    <row r="15" spans="1:21" ht="15.75" customHeight="1" x14ac:dyDescent="0.25">
      <c r="A15" s="11" t="s">
        <v>66</v>
      </c>
      <c r="B15" s="9" t="s">
        <v>67</v>
      </c>
      <c r="C15" s="9" t="s">
        <v>68</v>
      </c>
      <c r="D15" s="9">
        <v>150</v>
      </c>
      <c r="E15" s="9">
        <v>15</v>
      </c>
      <c r="F15" s="13" t="s">
        <v>28</v>
      </c>
      <c r="G15" s="31" t="str">
        <f t="shared" si="0"/>
        <v>Fitbit Smartwatch</v>
      </c>
      <c r="H15" s="67">
        <f t="shared" si="1"/>
        <v>150</v>
      </c>
      <c r="I15" t="str">
        <f t="shared" si="8"/>
        <v>Smartwatch</v>
      </c>
      <c r="J15" t="str">
        <f t="shared" si="2"/>
        <v>Fitbit</v>
      </c>
      <c r="K15" t="str">
        <f t="shared" si="3"/>
        <v>Fitbit Smartwatch</v>
      </c>
      <c r="L15" t="str">
        <f t="shared" si="4"/>
        <v>Electronics</v>
      </c>
      <c r="M15" t="str">
        <f t="shared" si="9"/>
        <v>Electronics</v>
      </c>
      <c r="N15" t="str">
        <f t="shared" si="5"/>
        <v>18-FEB-CA</v>
      </c>
      <c r="O15" t="str">
        <f t="shared" si="10"/>
        <v>18-FEB-CA</v>
      </c>
      <c r="P15" s="25" t="str">
        <f t="shared" si="6"/>
        <v>18-FEB</v>
      </c>
      <c r="Q15" s="25" t="str">
        <f t="shared" si="11"/>
        <v>CA</v>
      </c>
      <c r="R15" s="39">
        <f t="shared" si="7"/>
        <v>45706</v>
      </c>
      <c r="S15">
        <f t="shared" si="14"/>
        <v>150</v>
      </c>
      <c r="T15">
        <f t="shared" si="12"/>
        <v>150</v>
      </c>
      <c r="U15" t="str">
        <f t="shared" si="13"/>
        <v>Electronics</v>
      </c>
    </row>
    <row r="16" spans="1:21" ht="15.75" customHeight="1" x14ac:dyDescent="0.25">
      <c r="A16" s="10" t="s">
        <v>69</v>
      </c>
      <c r="B16" s="8" t="s">
        <v>70</v>
      </c>
      <c r="C16" s="8" t="s">
        <v>71</v>
      </c>
      <c r="D16" s="8">
        <v>250</v>
      </c>
      <c r="E16" s="8">
        <v>20</v>
      </c>
      <c r="F16" s="12" t="s">
        <v>28</v>
      </c>
      <c r="G16" s="31" t="str">
        <f t="shared" si="0"/>
        <v>Bose Headphones</v>
      </c>
      <c r="H16" s="67">
        <f t="shared" si="1"/>
        <v>250</v>
      </c>
      <c r="I16" t="str">
        <f t="shared" si="8"/>
        <v>headphones</v>
      </c>
      <c r="J16" t="str">
        <f t="shared" si="2"/>
        <v>Bose</v>
      </c>
      <c r="K16" t="str">
        <f t="shared" si="3"/>
        <v>Bose Headphones</v>
      </c>
      <c r="L16" t="str">
        <f t="shared" si="4"/>
        <v>Electronics</v>
      </c>
      <c r="M16" t="str">
        <f t="shared" si="9"/>
        <v>Electronics</v>
      </c>
      <c r="N16" t="str">
        <f t="shared" si="5"/>
        <v>16-APR-ES</v>
      </c>
      <c r="O16" t="str">
        <f t="shared" si="10"/>
        <v>16-APR-ES</v>
      </c>
      <c r="P16" s="25" t="str">
        <f t="shared" si="6"/>
        <v>16-APR</v>
      </c>
      <c r="Q16" s="25" t="str">
        <f t="shared" si="11"/>
        <v>ES</v>
      </c>
      <c r="R16" s="39">
        <f t="shared" si="7"/>
        <v>45763</v>
      </c>
      <c r="S16">
        <f t="shared" si="14"/>
        <v>250</v>
      </c>
      <c r="T16">
        <f t="shared" si="12"/>
        <v>250</v>
      </c>
      <c r="U16" t="str">
        <f t="shared" si="13"/>
        <v>Electronics</v>
      </c>
    </row>
    <row r="17" spans="1:21" ht="15.75" customHeight="1" x14ac:dyDescent="0.25">
      <c r="A17" s="11" t="s">
        <v>72</v>
      </c>
      <c r="B17" s="9" t="s">
        <v>73</v>
      </c>
      <c r="C17" s="9" t="s">
        <v>74</v>
      </c>
      <c r="D17" s="9">
        <v>50</v>
      </c>
      <c r="E17" s="9">
        <v>35</v>
      </c>
      <c r="F17" s="13" t="s">
        <v>75</v>
      </c>
      <c r="G17" s="31" t="str">
        <f t="shared" si="0"/>
        <v>Samsonite Laptop Bag</v>
      </c>
      <c r="H17" s="67">
        <f t="shared" si="1"/>
        <v>50</v>
      </c>
      <c r="I17" t="str">
        <f t="shared" si="8"/>
        <v>Laptop Bag</v>
      </c>
      <c r="J17" t="str">
        <f t="shared" si="2"/>
        <v>Samsonite</v>
      </c>
      <c r="K17" t="str">
        <f t="shared" si="3"/>
        <v>Samsonite Laptop Bag</v>
      </c>
      <c r="L17" t="str">
        <f t="shared" si="4"/>
        <v>Accessories</v>
      </c>
      <c r="M17" t="str">
        <f t="shared" si="9"/>
        <v>Accessories</v>
      </c>
      <c r="N17" t="str">
        <f t="shared" si="5"/>
        <v>21-AUG-CA</v>
      </c>
      <c r="O17" t="str">
        <f t="shared" si="10"/>
        <v>21-AUG-CA</v>
      </c>
      <c r="P17" s="25" t="str">
        <f t="shared" si="6"/>
        <v>21-AUG</v>
      </c>
      <c r="Q17" s="25" t="str">
        <f t="shared" si="11"/>
        <v>CA</v>
      </c>
      <c r="R17" s="39">
        <f t="shared" si="7"/>
        <v>45890</v>
      </c>
      <c r="S17">
        <f t="shared" si="14"/>
        <v>50</v>
      </c>
      <c r="T17">
        <f t="shared" si="12"/>
        <v>50</v>
      </c>
      <c r="U17" t="str">
        <f t="shared" si="13"/>
        <v>Accessories</v>
      </c>
    </row>
    <row r="18" spans="1:21" ht="15.75" customHeight="1" x14ac:dyDescent="0.25">
      <c r="A18" s="10" t="s">
        <v>76</v>
      </c>
      <c r="B18" s="8" t="s">
        <v>67</v>
      </c>
      <c r="C18" s="8" t="s">
        <v>77</v>
      </c>
      <c r="D18" s="8">
        <v>160</v>
      </c>
      <c r="E18" s="8">
        <v>15</v>
      </c>
      <c r="F18" s="12" t="s">
        <v>28</v>
      </c>
      <c r="G18" s="31" t="str">
        <f t="shared" si="0"/>
        <v>Huawei Smartwatch</v>
      </c>
      <c r="H18" s="67">
        <f t="shared" si="1"/>
        <v>160</v>
      </c>
      <c r="I18" t="str">
        <f t="shared" si="8"/>
        <v>Smartwatch</v>
      </c>
      <c r="J18" t="str">
        <f t="shared" si="2"/>
        <v>Huawei</v>
      </c>
      <c r="K18" t="str">
        <f t="shared" si="3"/>
        <v>Huawei Smartwatch</v>
      </c>
      <c r="L18" t="str">
        <f t="shared" si="4"/>
        <v>Electronics</v>
      </c>
      <c r="M18" t="str">
        <f t="shared" si="9"/>
        <v>Electronics</v>
      </c>
      <c r="N18" t="str">
        <f t="shared" si="5"/>
        <v>20-AUG-CN</v>
      </c>
      <c r="O18" t="str">
        <f t="shared" si="10"/>
        <v>20-AUG-CN</v>
      </c>
      <c r="P18" s="25" t="str">
        <f t="shared" si="6"/>
        <v>20-AUG</v>
      </c>
      <c r="Q18" s="25" t="str">
        <f t="shared" si="11"/>
        <v>CN</v>
      </c>
      <c r="R18" s="39">
        <f t="shared" si="7"/>
        <v>45889</v>
      </c>
      <c r="S18">
        <f t="shared" si="14"/>
        <v>160</v>
      </c>
      <c r="T18">
        <f t="shared" si="12"/>
        <v>160</v>
      </c>
      <c r="U18" t="str">
        <f t="shared" si="13"/>
        <v>Electronics</v>
      </c>
    </row>
    <row r="19" spans="1:21" ht="15.75" customHeight="1" x14ac:dyDescent="0.25">
      <c r="A19" s="11" t="s">
        <v>78</v>
      </c>
      <c r="B19" s="9" t="s">
        <v>26</v>
      </c>
      <c r="C19" s="9" t="s">
        <v>79</v>
      </c>
      <c r="D19" s="9">
        <v>980</v>
      </c>
      <c r="E19" s="9">
        <v>10</v>
      </c>
      <c r="F19" s="13" t="s">
        <v>28</v>
      </c>
      <c r="G19" s="31" t="str">
        <f t="shared" si="0"/>
        <v>Asus Laptop</v>
      </c>
      <c r="H19" s="67">
        <f t="shared" si="1"/>
        <v>980</v>
      </c>
      <c r="I19" t="str">
        <f t="shared" si="8"/>
        <v>laptop</v>
      </c>
      <c r="J19" t="str">
        <f t="shared" si="2"/>
        <v>Asus</v>
      </c>
      <c r="K19" t="str">
        <f t="shared" si="3"/>
        <v>Asus Laptop</v>
      </c>
      <c r="L19" t="str">
        <f t="shared" si="4"/>
        <v>Electronics</v>
      </c>
      <c r="M19" t="str">
        <f t="shared" si="9"/>
        <v>Electronics</v>
      </c>
      <c r="N19" t="str">
        <f t="shared" si="5"/>
        <v>27-JAN-IT</v>
      </c>
      <c r="O19" t="str">
        <f t="shared" si="10"/>
        <v>27-JAN-IT</v>
      </c>
      <c r="P19" s="25" t="str">
        <f t="shared" si="6"/>
        <v>27-JAN</v>
      </c>
      <c r="Q19" s="25" t="str">
        <f t="shared" si="11"/>
        <v>IT</v>
      </c>
      <c r="R19" s="39">
        <f t="shared" si="7"/>
        <v>45684</v>
      </c>
      <c r="S19">
        <f t="shared" si="14"/>
        <v>980</v>
      </c>
      <c r="T19">
        <f t="shared" si="12"/>
        <v>980</v>
      </c>
      <c r="U19" t="str">
        <f t="shared" si="13"/>
        <v>Electronics</v>
      </c>
    </row>
    <row r="20" spans="1:21" ht="15.75" customHeight="1" x14ac:dyDescent="0.25">
      <c r="A20" s="10" t="s">
        <v>80</v>
      </c>
      <c r="B20" s="8" t="s">
        <v>81</v>
      </c>
      <c r="C20" s="8" t="s">
        <v>82</v>
      </c>
      <c r="D20" s="8">
        <v>150</v>
      </c>
      <c r="E20" s="8">
        <v>15</v>
      </c>
      <c r="F20" s="12" t="s">
        <v>32</v>
      </c>
      <c r="G20" s="31" t="str">
        <f t="shared" si="0"/>
        <v>Oakley Sunglasses</v>
      </c>
      <c r="H20" s="67">
        <f t="shared" si="1"/>
        <v>150</v>
      </c>
      <c r="I20" t="str">
        <f t="shared" si="8"/>
        <v>Sunglasses</v>
      </c>
      <c r="J20" t="str">
        <f t="shared" si="2"/>
        <v>Oakley</v>
      </c>
      <c r="K20" t="str">
        <f t="shared" si="3"/>
        <v>Oakley Sunglasses</v>
      </c>
      <c r="L20" t="str">
        <f t="shared" si="4"/>
        <v>Fashion</v>
      </c>
      <c r="M20" t="str">
        <f t="shared" si="9"/>
        <v>Fashion</v>
      </c>
      <c r="N20" t="str">
        <f t="shared" si="5"/>
        <v>01-MAR-UK</v>
      </c>
      <c r="O20" t="str">
        <f t="shared" si="10"/>
        <v>01-MAR-UK</v>
      </c>
      <c r="P20" s="25" t="str">
        <f t="shared" si="6"/>
        <v>01-MAR</v>
      </c>
      <c r="Q20" s="25" t="str">
        <f t="shared" si="11"/>
        <v>UK</v>
      </c>
      <c r="R20" s="39">
        <f t="shared" si="7"/>
        <v>45717</v>
      </c>
      <c r="S20">
        <f t="shared" si="14"/>
        <v>150</v>
      </c>
      <c r="T20">
        <f t="shared" si="12"/>
        <v>150</v>
      </c>
      <c r="U20" t="str">
        <f t="shared" si="13"/>
        <v>Fashion</v>
      </c>
    </row>
    <row r="21" spans="1:21" ht="15.75" customHeight="1" x14ac:dyDescent="0.25">
      <c r="A21" s="11" t="s">
        <v>83</v>
      </c>
      <c r="B21" s="9" t="s">
        <v>84</v>
      </c>
      <c r="C21" s="9" t="s">
        <v>85</v>
      </c>
      <c r="D21" s="9"/>
      <c r="E21" s="9">
        <v>10</v>
      </c>
      <c r="F21" s="13" t="s">
        <v>59</v>
      </c>
      <c r="G21" s="31" t="str">
        <f t="shared" si="0"/>
        <v>Coleman Camping Tent</v>
      </c>
      <c r="H21" s="67">
        <f t="shared" si="1"/>
        <v>297.85714285714283</v>
      </c>
      <c r="I21" t="str">
        <f t="shared" si="8"/>
        <v>Camping Tent</v>
      </c>
      <c r="J21" t="str">
        <f t="shared" si="2"/>
        <v>Coleman</v>
      </c>
      <c r="K21" t="str">
        <f t="shared" si="3"/>
        <v>Coleman Camping Tent</v>
      </c>
      <c r="L21" t="str">
        <f t="shared" si="4"/>
        <v>Outdoor</v>
      </c>
      <c r="M21" t="str">
        <f t="shared" si="9"/>
        <v>Outdoor</v>
      </c>
      <c r="N21" t="str">
        <f t="shared" si="5"/>
        <v>14-AUG-US</v>
      </c>
      <c r="O21" t="str">
        <f t="shared" si="10"/>
        <v>14-AUG-US</v>
      </c>
      <c r="P21" s="25" t="str">
        <f t="shared" si="6"/>
        <v>14-AUG</v>
      </c>
      <c r="Q21" s="25" t="str">
        <f t="shared" si="11"/>
        <v>US</v>
      </c>
      <c r="R21" s="39">
        <f t="shared" si="7"/>
        <v>45883</v>
      </c>
      <c r="S21" t="e">
        <f t="shared" si="14"/>
        <v>#DIV/0!</v>
      </c>
      <c r="T21" s="60" t="str">
        <f t="shared" si="12"/>
        <v>NO VALUE</v>
      </c>
      <c r="U21" t="str">
        <f t="shared" si="13"/>
        <v>Outdoor</v>
      </c>
    </row>
    <row r="22" spans="1:21" ht="15.75" customHeight="1" x14ac:dyDescent="0.25">
      <c r="A22" s="10" t="s">
        <v>86</v>
      </c>
      <c r="B22" s="8" t="s">
        <v>87</v>
      </c>
      <c r="C22" s="8" t="s">
        <v>88</v>
      </c>
      <c r="D22" s="8">
        <v>700</v>
      </c>
      <c r="E22" s="8">
        <v>50</v>
      </c>
      <c r="F22" s="12" t="s">
        <v>28</v>
      </c>
      <c r="G22" s="31" t="str">
        <f t="shared" si="0"/>
        <v>Nikon Camera</v>
      </c>
      <c r="H22" s="67">
        <f t="shared" si="1"/>
        <v>700</v>
      </c>
      <c r="I22" t="str">
        <f t="shared" si="8"/>
        <v>Camera</v>
      </c>
      <c r="J22" t="str">
        <f t="shared" si="2"/>
        <v>Nikon</v>
      </c>
      <c r="K22" t="str">
        <f t="shared" si="3"/>
        <v>Nikon Camera</v>
      </c>
      <c r="L22" t="str">
        <f t="shared" si="4"/>
        <v>Electronics</v>
      </c>
      <c r="M22" t="str">
        <f t="shared" si="9"/>
        <v>Electronics</v>
      </c>
      <c r="N22" t="str">
        <f t="shared" si="5"/>
        <v>14-MAY-RU</v>
      </c>
      <c r="O22" t="str">
        <f t="shared" si="10"/>
        <v>14-MAY-RU</v>
      </c>
      <c r="P22" s="25" t="str">
        <f t="shared" si="6"/>
        <v>14-MAY</v>
      </c>
      <c r="Q22" s="25" t="str">
        <f t="shared" si="11"/>
        <v>RU</v>
      </c>
      <c r="R22" s="39">
        <f t="shared" si="7"/>
        <v>45791</v>
      </c>
      <c r="S22">
        <f t="shared" si="14"/>
        <v>700</v>
      </c>
      <c r="T22">
        <f t="shared" si="12"/>
        <v>700</v>
      </c>
      <c r="U22" t="str">
        <f t="shared" si="13"/>
        <v>Electronics</v>
      </c>
    </row>
    <row r="23" spans="1:21" ht="15.75" customHeight="1" x14ac:dyDescent="0.25">
      <c r="A23" s="11" t="s">
        <v>89</v>
      </c>
      <c r="B23" s="9" t="s">
        <v>90</v>
      </c>
      <c r="C23" s="9" t="s">
        <v>91</v>
      </c>
      <c r="D23" s="9">
        <v>80</v>
      </c>
      <c r="E23" s="9">
        <v>20</v>
      </c>
      <c r="F23" s="13" t="s">
        <v>36</v>
      </c>
      <c r="G23" s="31" t="str">
        <f t="shared" si="0"/>
        <v>Panasonic Microwave</v>
      </c>
      <c r="H23" s="67">
        <f t="shared" si="1"/>
        <v>80</v>
      </c>
      <c r="I23" t="str">
        <f t="shared" si="8"/>
        <v>Microwave</v>
      </c>
      <c r="J23" t="str">
        <f t="shared" si="2"/>
        <v>Panasonic</v>
      </c>
      <c r="K23" t="str">
        <f t="shared" si="3"/>
        <v>Panasonic Microwave</v>
      </c>
      <c r="L23" t="str">
        <f t="shared" si="4"/>
        <v>Kitchen</v>
      </c>
      <c r="M23" t="str">
        <f t="shared" si="9"/>
        <v>Kitchen</v>
      </c>
      <c r="N23" t="str">
        <f t="shared" si="5"/>
        <v>09-JAN-CA</v>
      </c>
      <c r="O23" t="str">
        <f t="shared" si="10"/>
        <v>09-JAN-CA</v>
      </c>
      <c r="P23" s="25" t="str">
        <f t="shared" si="6"/>
        <v>09-JAN</v>
      </c>
      <c r="Q23" s="25" t="str">
        <f t="shared" si="11"/>
        <v>CA</v>
      </c>
      <c r="R23" s="39">
        <f t="shared" si="7"/>
        <v>45666</v>
      </c>
      <c r="S23">
        <f t="shared" si="14"/>
        <v>80</v>
      </c>
      <c r="T23">
        <f t="shared" si="12"/>
        <v>80</v>
      </c>
      <c r="U23" t="str">
        <f t="shared" si="13"/>
        <v>Kitchen</v>
      </c>
    </row>
    <row r="24" spans="1:21" ht="15.75" customHeight="1" x14ac:dyDescent="0.25">
      <c r="A24" s="10" t="s">
        <v>92</v>
      </c>
      <c r="B24" s="8" t="s">
        <v>93</v>
      </c>
      <c r="C24" s="8" t="s">
        <v>94</v>
      </c>
      <c r="D24" s="8">
        <v>150</v>
      </c>
      <c r="E24" s="8">
        <v>30</v>
      </c>
      <c r="F24" s="12"/>
      <c r="G24" s="31" t="str">
        <f t="shared" si="0"/>
        <v>Xiaomi Fitness Tracker</v>
      </c>
      <c r="H24" s="67">
        <f t="shared" si="1"/>
        <v>150</v>
      </c>
      <c r="I24" t="str">
        <f t="shared" si="8"/>
        <v>Fitness Tracker</v>
      </c>
      <c r="J24" t="str">
        <f t="shared" si="2"/>
        <v>Xiaomi</v>
      </c>
      <c r="K24" t="str">
        <f t="shared" si="3"/>
        <v>Xiaomi Fitness Tracker</v>
      </c>
      <c r="L24" t="str">
        <f t="shared" si="4"/>
        <v>Electronics</v>
      </c>
      <c r="M24" t="str">
        <f t="shared" si="9"/>
        <v>Electronics</v>
      </c>
      <c r="N24" t="str">
        <f t="shared" si="5"/>
        <v>19-JUL-BR</v>
      </c>
      <c r="O24" t="str">
        <f t="shared" si="10"/>
        <v>19-JUL-BR</v>
      </c>
      <c r="P24" s="25" t="str">
        <f t="shared" si="6"/>
        <v>19-JUL</v>
      </c>
      <c r="Q24" s="25" t="str">
        <f t="shared" si="11"/>
        <v>BR</v>
      </c>
      <c r="R24" s="39">
        <f t="shared" si="7"/>
        <v>45857</v>
      </c>
      <c r="S24">
        <f t="shared" si="14"/>
        <v>150</v>
      </c>
      <c r="T24">
        <f t="shared" si="12"/>
        <v>150</v>
      </c>
      <c r="U24" t="str">
        <f t="shared" si="13"/>
        <v>Electronics</v>
      </c>
    </row>
    <row r="25" spans="1:21" ht="15.75" customHeight="1" x14ac:dyDescent="0.25">
      <c r="A25" s="10" t="s">
        <v>95</v>
      </c>
      <c r="B25" s="8" t="s">
        <v>96</v>
      </c>
      <c r="C25" s="8" t="s">
        <v>97</v>
      </c>
      <c r="D25" s="8">
        <v>800</v>
      </c>
      <c r="E25" s="8">
        <v>45</v>
      </c>
      <c r="F25" s="12" t="s">
        <v>28</v>
      </c>
      <c r="G25" s="31" t="str">
        <f t="shared" si="0"/>
        <v>Google Smartphone</v>
      </c>
      <c r="H25" s="67">
        <f t="shared" si="1"/>
        <v>800</v>
      </c>
      <c r="I25" t="str">
        <f t="shared" si="8"/>
        <v>Smartphone</v>
      </c>
      <c r="J25" t="str">
        <f t="shared" si="2"/>
        <v>Google</v>
      </c>
      <c r="K25" t="str">
        <f t="shared" si="3"/>
        <v>Google Smartphone</v>
      </c>
      <c r="L25" t="str">
        <f t="shared" si="4"/>
        <v>Electronics</v>
      </c>
      <c r="M25" t="str">
        <f t="shared" si="9"/>
        <v>Electronics</v>
      </c>
      <c r="N25" t="str">
        <f t="shared" si="5"/>
        <v>29-SEP-CA</v>
      </c>
      <c r="O25" t="str">
        <f t="shared" si="10"/>
        <v>29-SEP-CA</v>
      </c>
      <c r="P25" s="25" t="str">
        <f t="shared" si="6"/>
        <v>29-SEP</v>
      </c>
      <c r="Q25" s="25" t="str">
        <f t="shared" si="11"/>
        <v>CA</v>
      </c>
      <c r="R25" s="39">
        <f t="shared" si="7"/>
        <v>45929</v>
      </c>
      <c r="S25">
        <f t="shared" si="14"/>
        <v>800</v>
      </c>
      <c r="T25">
        <f t="shared" si="12"/>
        <v>800</v>
      </c>
      <c r="U25" t="str">
        <f t="shared" si="13"/>
        <v>Electronics</v>
      </c>
    </row>
    <row r="26" spans="1:21" ht="15.75" customHeight="1" x14ac:dyDescent="0.25">
      <c r="A26" s="11" t="s">
        <v>98</v>
      </c>
      <c r="B26" s="9" t="s">
        <v>81</v>
      </c>
      <c r="C26" s="9" t="s">
        <v>99</v>
      </c>
      <c r="D26" s="9"/>
      <c r="E26" s="9">
        <v>25</v>
      </c>
      <c r="F26" s="13" t="s">
        <v>32</v>
      </c>
      <c r="G26" s="31" t="str">
        <f t="shared" si="0"/>
        <v>Ray-Ban Sunglasses</v>
      </c>
      <c r="H26" s="67">
        <f t="shared" si="1"/>
        <v>297.85714285714283</v>
      </c>
      <c r="I26" t="str">
        <f t="shared" si="8"/>
        <v>Sunglasses</v>
      </c>
      <c r="J26" t="str">
        <f t="shared" si="2"/>
        <v>Ray-Ban</v>
      </c>
      <c r="K26" t="str">
        <f t="shared" si="3"/>
        <v>Ray-Ban Sunglasses</v>
      </c>
      <c r="L26" t="str">
        <f t="shared" si="4"/>
        <v>Fashion</v>
      </c>
      <c r="M26" t="str">
        <f t="shared" si="9"/>
        <v>Fashion</v>
      </c>
      <c r="N26" t="str">
        <f t="shared" si="5"/>
        <v>03-JUN-CA</v>
      </c>
      <c r="O26" t="str">
        <f t="shared" si="10"/>
        <v>03-JUN-CA</v>
      </c>
      <c r="P26" s="25" t="str">
        <f t="shared" si="6"/>
        <v>03-JUN</v>
      </c>
      <c r="Q26" s="25" t="str">
        <f t="shared" si="11"/>
        <v>CA</v>
      </c>
      <c r="R26" s="39">
        <f t="shared" si="7"/>
        <v>45811</v>
      </c>
      <c r="S26">
        <f t="shared" si="14"/>
        <v>150</v>
      </c>
      <c r="T26">
        <f t="shared" si="12"/>
        <v>150</v>
      </c>
      <c r="U26" t="str">
        <f t="shared" si="13"/>
        <v>Fashion</v>
      </c>
    </row>
    <row r="27" spans="1:21" ht="15.75" customHeight="1" x14ac:dyDescent="0.25">
      <c r="A27" s="10" t="s">
        <v>100</v>
      </c>
      <c r="B27" s="8" t="s">
        <v>51</v>
      </c>
      <c r="C27" s="8" t="s">
        <v>101</v>
      </c>
      <c r="D27" s="8">
        <v>400</v>
      </c>
      <c r="E27" s="8">
        <v>40</v>
      </c>
      <c r="F27" s="12" t="s">
        <v>36</v>
      </c>
      <c r="G27" s="31" t="str">
        <f t="shared" si="0"/>
        <v>Vitamix Blender</v>
      </c>
      <c r="H27" s="67">
        <f t="shared" si="1"/>
        <v>400</v>
      </c>
      <c r="I27" t="str">
        <f t="shared" si="8"/>
        <v>Blender</v>
      </c>
      <c r="J27" t="str">
        <f t="shared" si="2"/>
        <v>Vitamix</v>
      </c>
      <c r="K27" t="str">
        <f t="shared" si="3"/>
        <v>Vitamix Blender</v>
      </c>
      <c r="L27" t="str">
        <f t="shared" si="4"/>
        <v>Kitchen</v>
      </c>
      <c r="M27" t="str">
        <f t="shared" si="9"/>
        <v>Kitchen</v>
      </c>
      <c r="N27" t="str">
        <f t="shared" si="5"/>
        <v>11-JUL-CA</v>
      </c>
      <c r="O27" t="str">
        <f t="shared" si="10"/>
        <v>11-JUL-CA</v>
      </c>
      <c r="P27" s="25" t="str">
        <f t="shared" si="6"/>
        <v>11-JUL</v>
      </c>
      <c r="Q27" s="25" t="str">
        <f t="shared" si="11"/>
        <v>CA</v>
      </c>
      <c r="R27" s="39">
        <f t="shared" si="7"/>
        <v>45849</v>
      </c>
      <c r="S27">
        <f t="shared" si="14"/>
        <v>400</v>
      </c>
      <c r="T27">
        <f t="shared" si="12"/>
        <v>400</v>
      </c>
      <c r="U27" t="str">
        <f t="shared" si="13"/>
        <v>Kitchen</v>
      </c>
    </row>
    <row r="28" spans="1:21" ht="15.75" customHeight="1" x14ac:dyDescent="0.25">
      <c r="A28" s="10" t="s">
        <v>102</v>
      </c>
      <c r="B28" s="8" t="s">
        <v>103</v>
      </c>
      <c r="C28" s="8" t="s">
        <v>104</v>
      </c>
      <c r="D28" s="8">
        <v>60</v>
      </c>
      <c r="E28" s="8">
        <v>30</v>
      </c>
      <c r="F28" s="12" t="s">
        <v>32</v>
      </c>
      <c r="G28" s="31" t="str">
        <f t="shared" si="0"/>
        <v>Zara Dress</v>
      </c>
      <c r="H28" s="67">
        <f t="shared" si="1"/>
        <v>60</v>
      </c>
      <c r="I28" t="str">
        <f t="shared" si="8"/>
        <v>Dress</v>
      </c>
      <c r="J28" t="str">
        <f t="shared" si="2"/>
        <v>Zara</v>
      </c>
      <c r="K28" t="str">
        <f t="shared" si="3"/>
        <v>Zara Dress</v>
      </c>
      <c r="L28" t="str">
        <f t="shared" si="4"/>
        <v>Fashion</v>
      </c>
      <c r="M28" t="str">
        <f t="shared" si="9"/>
        <v>Fashion</v>
      </c>
      <c r="N28" t="str">
        <f t="shared" si="5"/>
        <v>07-MAR-CA</v>
      </c>
      <c r="O28" t="str">
        <f t="shared" si="10"/>
        <v>07-MAR-CA</v>
      </c>
      <c r="P28" s="25" t="str">
        <f t="shared" si="6"/>
        <v>07-MAR</v>
      </c>
      <c r="Q28" s="25" t="str">
        <f t="shared" si="11"/>
        <v>CA</v>
      </c>
      <c r="R28" s="39">
        <f t="shared" si="7"/>
        <v>45723</v>
      </c>
      <c r="S28">
        <f t="shared" si="14"/>
        <v>60</v>
      </c>
      <c r="T28">
        <f t="shared" si="12"/>
        <v>60</v>
      </c>
      <c r="U28" t="str">
        <f t="shared" si="13"/>
        <v>Fashion</v>
      </c>
    </row>
    <row r="29" spans="1:21" ht="15.75" customHeight="1" x14ac:dyDescent="0.25">
      <c r="A29" s="11" t="s">
        <v>105</v>
      </c>
      <c r="B29" s="9" t="s">
        <v>106</v>
      </c>
      <c r="C29" s="9" t="s">
        <v>107</v>
      </c>
      <c r="D29" s="9">
        <v>40</v>
      </c>
      <c r="E29" s="9">
        <v>10</v>
      </c>
      <c r="F29" s="13" t="s">
        <v>36</v>
      </c>
      <c r="G29" s="31" t="str">
        <f t="shared" si="0"/>
        <v>Hamilton Toaster</v>
      </c>
      <c r="H29" s="67">
        <f t="shared" si="1"/>
        <v>40</v>
      </c>
      <c r="I29" t="str">
        <f t="shared" si="8"/>
        <v>Toaster</v>
      </c>
      <c r="J29" t="str">
        <f t="shared" si="2"/>
        <v>Hamilton</v>
      </c>
      <c r="K29" t="str">
        <f t="shared" si="3"/>
        <v>Hamilton Toaster</v>
      </c>
      <c r="L29" t="str">
        <f t="shared" si="4"/>
        <v>Kitchen</v>
      </c>
      <c r="M29" t="str">
        <f t="shared" si="9"/>
        <v>Kitchen</v>
      </c>
      <c r="N29" t="str">
        <f t="shared" si="5"/>
        <v>13-APR-CA</v>
      </c>
      <c r="O29" t="str">
        <f t="shared" si="10"/>
        <v>13-APR-CA</v>
      </c>
      <c r="P29" s="25" t="str">
        <f t="shared" si="6"/>
        <v>13-APR</v>
      </c>
      <c r="Q29" s="25" t="str">
        <f t="shared" si="11"/>
        <v>CA</v>
      </c>
      <c r="R29" s="39">
        <f t="shared" si="7"/>
        <v>45760</v>
      </c>
      <c r="S29">
        <f t="shared" si="14"/>
        <v>40</v>
      </c>
      <c r="T29">
        <f t="shared" si="12"/>
        <v>40</v>
      </c>
      <c r="U29" t="str">
        <f t="shared" si="13"/>
        <v>Kitchen</v>
      </c>
    </row>
    <row r="30" spans="1:21" ht="15.75" customHeight="1" x14ac:dyDescent="0.25">
      <c r="A30" s="10" t="s">
        <v>108</v>
      </c>
      <c r="B30" s="8" t="s">
        <v>93</v>
      </c>
      <c r="C30" s="8" t="s">
        <v>109</v>
      </c>
      <c r="D30" s="8">
        <v>130</v>
      </c>
      <c r="E30" s="8">
        <v>5</v>
      </c>
      <c r="F30" s="12" t="s">
        <v>28</v>
      </c>
      <c r="G30" s="31" t="str">
        <f t="shared" si="0"/>
        <v>Garmin Fitness Tracker</v>
      </c>
      <c r="H30" s="67">
        <f t="shared" si="1"/>
        <v>130</v>
      </c>
      <c r="I30" t="str">
        <f t="shared" si="8"/>
        <v>Fitness Tracker</v>
      </c>
      <c r="J30" t="str">
        <f t="shared" si="2"/>
        <v>Garmin</v>
      </c>
      <c r="K30" t="str">
        <f t="shared" si="3"/>
        <v>Garmin Fitness Tracker</v>
      </c>
      <c r="L30" t="str">
        <f t="shared" si="4"/>
        <v>Electronics</v>
      </c>
      <c r="M30" t="str">
        <f t="shared" si="9"/>
        <v>Electronics</v>
      </c>
      <c r="N30" t="str">
        <f t="shared" si="5"/>
        <v>24-MAY-CA</v>
      </c>
      <c r="O30" t="str">
        <f t="shared" si="10"/>
        <v>24-MAY-CA</v>
      </c>
      <c r="P30" s="25" t="str">
        <f t="shared" si="6"/>
        <v>24-MAY</v>
      </c>
      <c r="Q30" s="25" t="str">
        <f t="shared" si="11"/>
        <v>CA</v>
      </c>
      <c r="R30" s="39">
        <f t="shared" si="7"/>
        <v>45801</v>
      </c>
      <c r="S30">
        <f t="shared" si="14"/>
        <v>130</v>
      </c>
      <c r="T30">
        <f t="shared" si="12"/>
        <v>130</v>
      </c>
      <c r="U30" t="str">
        <f t="shared" si="13"/>
        <v>Electronics</v>
      </c>
    </row>
    <row r="31" spans="1:21" ht="15.75" customHeight="1" x14ac:dyDescent="0.25">
      <c r="A31" s="11" t="s">
        <v>110</v>
      </c>
      <c r="B31" s="9" t="s">
        <v>111</v>
      </c>
      <c r="C31" s="9" t="s">
        <v>112</v>
      </c>
      <c r="D31" s="9">
        <v>50</v>
      </c>
      <c r="E31" s="9">
        <v>50</v>
      </c>
      <c r="F31" s="13" t="s">
        <v>32</v>
      </c>
      <c r="G31" s="31" t="str">
        <f t="shared" si="0"/>
        <v>Levi'S Jeans</v>
      </c>
      <c r="H31" s="67">
        <f t="shared" si="1"/>
        <v>50</v>
      </c>
      <c r="I31" t="str">
        <f t="shared" si="8"/>
        <v>Jeans</v>
      </c>
      <c r="J31" t="str">
        <f t="shared" si="2"/>
        <v>Levi's</v>
      </c>
      <c r="K31" t="str">
        <f t="shared" si="3"/>
        <v>Levi'S Jeans</v>
      </c>
      <c r="L31" t="str">
        <f t="shared" si="4"/>
        <v>Fashion</v>
      </c>
      <c r="M31" t="str">
        <f t="shared" si="9"/>
        <v>Fashion</v>
      </c>
      <c r="N31" t="str">
        <f t="shared" si="5"/>
        <v>02-DEC-CA</v>
      </c>
      <c r="O31" t="str">
        <f t="shared" si="10"/>
        <v>02-DEC-CA</v>
      </c>
      <c r="P31" s="25" t="str">
        <f t="shared" si="6"/>
        <v>02-DEC</v>
      </c>
      <c r="Q31" s="25" t="str">
        <f t="shared" si="11"/>
        <v>CA</v>
      </c>
      <c r="R31" s="39">
        <f t="shared" si="7"/>
        <v>45993</v>
      </c>
      <c r="S31">
        <f t="shared" si="14"/>
        <v>50</v>
      </c>
      <c r="T31">
        <f t="shared" si="12"/>
        <v>50</v>
      </c>
      <c r="U31" t="str">
        <f t="shared" si="13"/>
        <v>Fashion</v>
      </c>
    </row>
    <row r="32" spans="1:21" ht="15.75" customHeight="1" x14ac:dyDescent="0.25">
      <c r="A32" s="11" t="s">
        <v>113</v>
      </c>
      <c r="B32" s="9" t="s">
        <v>114</v>
      </c>
      <c r="C32" s="9" t="s">
        <v>115</v>
      </c>
      <c r="D32" s="9">
        <v>100</v>
      </c>
      <c r="E32" s="9">
        <v>20</v>
      </c>
      <c r="F32" s="13" t="s">
        <v>75</v>
      </c>
      <c r="G32" s="31" t="str">
        <f t="shared" si="0"/>
        <v>Casio Watch</v>
      </c>
      <c r="H32" s="67">
        <f t="shared" si="1"/>
        <v>100</v>
      </c>
      <c r="I32" t="str">
        <f t="shared" si="8"/>
        <v>Watch</v>
      </c>
      <c r="J32" t="str">
        <f t="shared" si="2"/>
        <v>Casio</v>
      </c>
      <c r="K32" t="str">
        <f t="shared" si="3"/>
        <v>Casio Watch</v>
      </c>
      <c r="L32" t="str">
        <f t="shared" si="4"/>
        <v>Accessories</v>
      </c>
      <c r="M32" t="str">
        <f t="shared" si="9"/>
        <v>Accessories</v>
      </c>
      <c r="N32" t="str">
        <f t="shared" si="5"/>
        <v>09-JUL-FR</v>
      </c>
      <c r="O32" t="str">
        <f t="shared" si="10"/>
        <v>09-JUL-FR</v>
      </c>
      <c r="P32" s="25" t="str">
        <f t="shared" si="6"/>
        <v>09-JUL</v>
      </c>
      <c r="Q32" s="25" t="str">
        <f t="shared" si="11"/>
        <v>FR</v>
      </c>
      <c r="R32" s="39">
        <f t="shared" si="7"/>
        <v>45847</v>
      </c>
      <c r="S32">
        <f t="shared" si="14"/>
        <v>100</v>
      </c>
      <c r="T32">
        <f t="shared" si="12"/>
        <v>100</v>
      </c>
      <c r="U32" t="str">
        <f t="shared" si="13"/>
        <v>Accessories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H33:H1048576 H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{7A99B78E-C61C-4B38-B095-D7AC2F0A48DB}</x14:id>
        </ext>
      </extLst>
    </cfRule>
    <cfRule type="iconSet" priority="8">
      <iconSet iconSet="3ArrowsGray">
        <cfvo type="percent" val="0"/>
        <cfvo type="percent" val="33"/>
        <cfvo type="percent" val="67"/>
      </iconSet>
    </cfRule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{B961955A-36AB-4FB4-B687-2B3B95F66522}</x14:id>
        </ext>
      </extLst>
    </cfRule>
  </conditionalFormatting>
  <conditionalFormatting sqref="I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{6FC7EE60-8F48-48F2-943E-F7B2CD3DB419}</x14:id>
        </ext>
      </extLst>
    </cfRule>
  </conditionalFormatting>
  <conditionalFormatting sqref="M2:M32">
    <cfRule type="containsText" dxfId="38" priority="3" operator="containsText" text="Electronics">
      <formula>NOT(ISERROR(SEARCH("Electronics",M2)))</formula>
    </cfRule>
  </conditionalFormatting>
  <conditionalFormatting sqref="T1:T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{A1213315-5C89-47B2-8554-DC7100CA7920}</x14:id>
        </ext>
      </extLst>
    </cfRule>
  </conditionalFormatting>
  <conditionalFormatting sqref="U1:U1048576">
    <cfRule type="containsText" dxfId="37" priority="1" operator="containsText" text="Electronics">
      <formula>NOT(ISERROR(SEARCH("Electronics",U1)))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99B78E-C61C-4B38-B095-D7AC2F0A4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61955A-36AB-4FB4-B687-2B3B95F665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H33:H1048576 H1</xm:sqref>
        </x14:conditionalFormatting>
        <x14:conditionalFormatting xmlns:xm="http://schemas.microsoft.com/office/excel/2006/main">
          <x14:cfRule type="dataBar" id="{6FC7EE60-8F48-48F2-943E-F7B2CD3DB4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I8</xm:sqref>
        </x14:conditionalFormatting>
        <x14:conditionalFormatting xmlns:xm="http://schemas.microsoft.com/office/excel/2006/main">
          <x14:cfRule type="dataBar" id="{A1213315-5C89-47B2-8554-DC7100CA79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zoomScaleNormal="100" workbookViewId="0">
      <selection activeCell="P19" sqref="P19"/>
    </sheetView>
  </sheetViews>
  <sheetFormatPr defaultRowHeight="12.5" x14ac:dyDescent="0.25"/>
  <cols>
    <col min="1" max="1" width="14.90625" style="22" bestFit="1" customWidth="1"/>
    <col min="2" max="2" width="22.453125" bestFit="1" customWidth="1"/>
    <col min="3" max="3" width="17.26953125" bestFit="1" customWidth="1"/>
    <col min="4" max="4" width="17" style="25" bestFit="1" customWidth="1"/>
    <col min="5" max="5" width="21.1796875" style="65" bestFit="1" customWidth="1"/>
    <col min="6" max="6" width="9.7265625" style="64" bestFit="1" customWidth="1"/>
    <col min="7" max="7" width="12.7265625" style="60" bestFit="1" customWidth="1"/>
    <col min="8" max="8" width="13.1796875" bestFit="1" customWidth="1"/>
    <col min="9" max="9" width="10.7265625" customWidth="1"/>
    <col min="11" max="11" width="19" customWidth="1"/>
  </cols>
  <sheetData>
    <row r="1" spans="1:25" ht="13" thickBot="1" x14ac:dyDescent="0.3">
      <c r="A1" s="68" t="s">
        <v>128</v>
      </c>
      <c r="B1" s="68" t="s">
        <v>122</v>
      </c>
      <c r="C1" s="68" t="s">
        <v>123</v>
      </c>
      <c r="D1" s="68" t="s">
        <v>125</v>
      </c>
      <c r="E1" s="68" t="s">
        <v>159</v>
      </c>
      <c r="F1" s="93" t="s">
        <v>160</v>
      </c>
      <c r="G1" s="68" t="s">
        <v>23</v>
      </c>
      <c r="H1" s="68" t="s">
        <v>24</v>
      </c>
    </row>
    <row r="2" spans="1:25" x14ac:dyDescent="0.25">
      <c r="A2" s="45" t="s">
        <v>25</v>
      </c>
      <c r="B2" s="46" t="s">
        <v>129</v>
      </c>
      <c r="C2" s="46" t="str">
        <f>RIGHT(A2,2)</f>
        <v>US</v>
      </c>
      <c r="D2" s="47">
        <f>DATE(2025,MONTH(B2),DAY(B2))</f>
        <v>45685</v>
      </c>
      <c r="E2" s="48" t="s">
        <v>188</v>
      </c>
      <c r="F2" s="61">
        <v>1000</v>
      </c>
      <c r="G2" s="57">
        <v>30</v>
      </c>
      <c r="H2" s="49" t="s">
        <v>28</v>
      </c>
      <c r="J2" s="72"/>
      <c r="K2" s="73"/>
      <c r="L2" s="73"/>
      <c r="M2" s="73"/>
      <c r="N2" s="73"/>
      <c r="O2" s="73"/>
      <c r="P2" s="89"/>
      <c r="Q2" s="73"/>
      <c r="R2" s="73"/>
      <c r="S2" s="73"/>
      <c r="T2" s="73"/>
      <c r="U2" s="73"/>
      <c r="V2" s="73"/>
      <c r="W2" s="73"/>
      <c r="X2" s="73"/>
      <c r="Y2" s="74"/>
    </row>
    <row r="3" spans="1:25" ht="13" x14ac:dyDescent="0.3">
      <c r="A3" s="50" t="s">
        <v>29</v>
      </c>
      <c r="B3" s="41" t="s">
        <v>130</v>
      </c>
      <c r="C3" s="41" t="str">
        <f t="shared" ref="C3:C32" si="0">RIGHT(A3,2)</f>
        <v>US</v>
      </c>
      <c r="D3" s="42">
        <f t="shared" ref="D3:D32" si="1">DATE(2025,MONTH(B3),DAY(B3))</f>
        <v>45703</v>
      </c>
      <c r="E3" s="43" t="s">
        <v>189</v>
      </c>
      <c r="F3" s="62">
        <v>80</v>
      </c>
      <c r="G3" s="58">
        <v>15</v>
      </c>
      <c r="H3" s="51" t="s">
        <v>32</v>
      </c>
      <c r="J3" s="75" t="s">
        <v>164</v>
      </c>
      <c r="K3" s="76"/>
      <c r="L3" s="38"/>
      <c r="M3" s="38"/>
      <c r="N3" s="38"/>
      <c r="O3" s="38"/>
      <c r="P3" s="90"/>
      <c r="Q3" s="38"/>
      <c r="R3" s="76" t="s">
        <v>165</v>
      </c>
      <c r="S3" s="76"/>
      <c r="T3" s="38"/>
      <c r="U3" s="38"/>
      <c r="V3" s="38"/>
      <c r="W3" s="38"/>
      <c r="X3" s="38"/>
      <c r="Y3" s="77"/>
    </row>
    <row r="4" spans="1:25" x14ac:dyDescent="0.25">
      <c r="A4" s="50" t="s">
        <v>33</v>
      </c>
      <c r="B4" s="41" t="s">
        <v>131</v>
      </c>
      <c r="C4" s="41" t="str">
        <f t="shared" si="0"/>
        <v>US</v>
      </c>
      <c r="D4" s="42">
        <f t="shared" si="1"/>
        <v>45719</v>
      </c>
      <c r="E4" s="43" t="s">
        <v>190</v>
      </c>
      <c r="F4" s="62">
        <v>130</v>
      </c>
      <c r="G4" s="58">
        <v>40</v>
      </c>
      <c r="H4" s="51" t="s">
        <v>36</v>
      </c>
      <c r="J4" s="78"/>
      <c r="K4" s="38"/>
      <c r="L4" s="38"/>
      <c r="M4" s="38"/>
      <c r="N4" s="38"/>
      <c r="O4" s="38"/>
      <c r="P4" s="90"/>
      <c r="Q4" s="38"/>
      <c r="R4" s="38"/>
      <c r="S4" s="38"/>
      <c r="T4" s="38"/>
      <c r="U4" s="38"/>
      <c r="V4" s="38"/>
      <c r="W4" s="38"/>
      <c r="X4" s="38"/>
      <c r="Y4" s="77"/>
    </row>
    <row r="5" spans="1:25" ht="13" x14ac:dyDescent="0.3">
      <c r="A5" s="50" t="s">
        <v>37</v>
      </c>
      <c r="B5" s="41" t="s">
        <v>132</v>
      </c>
      <c r="C5" s="41" t="str">
        <f t="shared" si="0"/>
        <v>US</v>
      </c>
      <c r="D5" s="42">
        <f t="shared" si="1"/>
        <v>45758</v>
      </c>
      <c r="E5" s="43" t="s">
        <v>191</v>
      </c>
      <c r="F5" s="62">
        <v>900</v>
      </c>
      <c r="G5" s="58">
        <v>25</v>
      </c>
      <c r="H5" s="51" t="s">
        <v>28</v>
      </c>
      <c r="J5" s="79" t="s">
        <v>167</v>
      </c>
      <c r="K5" s="80"/>
      <c r="L5" s="80"/>
      <c r="M5" s="38"/>
      <c r="N5" s="38"/>
      <c r="O5" s="38"/>
      <c r="P5" s="90"/>
      <c r="Q5" s="38"/>
      <c r="R5" s="38"/>
      <c r="S5" s="38"/>
      <c r="T5" s="38"/>
      <c r="U5" s="38"/>
      <c r="V5" s="38"/>
      <c r="W5" s="38"/>
      <c r="X5" s="38"/>
      <c r="Y5" s="77"/>
    </row>
    <row r="6" spans="1:25" x14ac:dyDescent="0.25">
      <c r="A6" s="50" t="s">
        <v>40</v>
      </c>
      <c r="B6" s="41" t="s">
        <v>133</v>
      </c>
      <c r="C6" s="41" t="str">
        <f t="shared" si="0"/>
        <v>US</v>
      </c>
      <c r="D6" s="42">
        <f t="shared" si="1"/>
        <v>45799</v>
      </c>
      <c r="E6" s="43" t="s">
        <v>192</v>
      </c>
      <c r="F6" s="62">
        <v>70</v>
      </c>
      <c r="G6" s="58">
        <v>20</v>
      </c>
      <c r="H6" s="92" t="s">
        <v>75</v>
      </c>
      <c r="J6" s="81" t="s">
        <v>179</v>
      </c>
      <c r="K6" s="38"/>
      <c r="L6" s="38"/>
      <c r="M6" s="38"/>
      <c r="N6" s="38"/>
      <c r="O6" s="38"/>
      <c r="P6" s="90"/>
      <c r="Q6" s="38"/>
      <c r="R6" s="38"/>
      <c r="S6" s="38"/>
      <c r="T6" s="38"/>
      <c r="U6" s="38"/>
      <c r="V6" s="38"/>
      <c r="W6" s="38"/>
      <c r="X6" s="38"/>
      <c r="Y6" s="77"/>
    </row>
    <row r="7" spans="1:25" x14ac:dyDescent="0.25">
      <c r="A7" s="50" t="s">
        <v>43</v>
      </c>
      <c r="B7" s="41" t="s">
        <v>134</v>
      </c>
      <c r="C7" s="41" t="str">
        <f t="shared" si="0"/>
        <v>UK</v>
      </c>
      <c r="D7" s="42">
        <f t="shared" si="1"/>
        <v>45815</v>
      </c>
      <c r="E7" s="43" t="s">
        <v>193</v>
      </c>
      <c r="F7" s="62">
        <v>250</v>
      </c>
      <c r="G7" s="58">
        <v>45</v>
      </c>
      <c r="H7" s="51" t="s">
        <v>28</v>
      </c>
      <c r="J7" s="81" t="s">
        <v>166</v>
      </c>
      <c r="K7" s="38"/>
      <c r="L7" s="38"/>
      <c r="M7" s="38"/>
      <c r="N7" s="38"/>
      <c r="O7" s="38"/>
      <c r="P7" s="90"/>
      <c r="Q7" s="38"/>
      <c r="R7" s="38"/>
      <c r="S7" s="38"/>
      <c r="T7" s="38"/>
      <c r="U7" s="38"/>
      <c r="V7" s="38"/>
      <c r="W7" s="38"/>
      <c r="X7" s="38"/>
      <c r="Y7" s="77"/>
    </row>
    <row r="8" spans="1:25" x14ac:dyDescent="0.25">
      <c r="A8" s="50" t="s">
        <v>47</v>
      </c>
      <c r="B8" s="41" t="s">
        <v>135</v>
      </c>
      <c r="C8" s="41" t="str">
        <f t="shared" si="0"/>
        <v>UK</v>
      </c>
      <c r="D8" s="42">
        <f t="shared" si="1"/>
        <v>45857</v>
      </c>
      <c r="E8" s="43" t="s">
        <v>194</v>
      </c>
      <c r="F8" s="62">
        <v>30</v>
      </c>
      <c r="G8" s="58">
        <v>5</v>
      </c>
      <c r="H8" s="51" t="s">
        <v>32</v>
      </c>
      <c r="J8" s="78"/>
      <c r="K8" s="38"/>
      <c r="L8" s="38"/>
      <c r="M8" s="38"/>
      <c r="N8" s="38"/>
      <c r="O8" s="38"/>
      <c r="P8" s="90"/>
      <c r="Q8" s="38"/>
      <c r="R8" s="38"/>
      <c r="S8" s="38"/>
      <c r="T8" s="38"/>
      <c r="U8" s="38"/>
      <c r="V8" s="38"/>
      <c r="W8" s="38"/>
      <c r="X8" s="38"/>
      <c r="Y8" s="77"/>
    </row>
    <row r="9" spans="1:25" ht="13" x14ac:dyDescent="0.3">
      <c r="A9" s="50" t="s">
        <v>50</v>
      </c>
      <c r="B9" s="41" t="s">
        <v>136</v>
      </c>
      <c r="C9" s="41" t="str">
        <f t="shared" si="0"/>
        <v>UK</v>
      </c>
      <c r="D9" s="42">
        <f t="shared" si="1"/>
        <v>45892</v>
      </c>
      <c r="E9" s="43" t="s">
        <v>195</v>
      </c>
      <c r="F9" s="62">
        <v>90</v>
      </c>
      <c r="G9" s="58">
        <v>35</v>
      </c>
      <c r="H9" s="51" t="s">
        <v>36</v>
      </c>
      <c r="J9" s="79" t="s">
        <v>168</v>
      </c>
      <c r="K9" s="80"/>
      <c r="L9" s="38"/>
      <c r="M9" s="38"/>
      <c r="N9" s="38"/>
      <c r="O9" s="38"/>
      <c r="P9" s="90"/>
      <c r="Q9" s="38"/>
      <c r="R9" s="38"/>
      <c r="S9" s="38"/>
      <c r="T9" s="38"/>
      <c r="U9" s="38"/>
      <c r="V9" s="38"/>
      <c r="W9" s="38"/>
      <c r="X9" s="38"/>
      <c r="Y9" s="77"/>
    </row>
    <row r="10" spans="1:25" ht="13" x14ac:dyDescent="0.3">
      <c r="A10" s="50" t="s">
        <v>53</v>
      </c>
      <c r="B10" s="41" t="s">
        <v>137</v>
      </c>
      <c r="C10" s="41" t="str">
        <f t="shared" si="0"/>
        <v>UK</v>
      </c>
      <c r="D10" s="42">
        <f t="shared" si="1"/>
        <v>45905</v>
      </c>
      <c r="E10" s="43" t="s">
        <v>196</v>
      </c>
      <c r="F10" s="62">
        <v>500</v>
      </c>
      <c r="G10" s="58">
        <v>50</v>
      </c>
      <c r="H10" s="51" t="s">
        <v>28</v>
      </c>
      <c r="J10" s="81" t="s">
        <v>186</v>
      </c>
      <c r="K10" s="38"/>
      <c r="L10" s="38"/>
      <c r="M10" s="38"/>
      <c r="N10" s="38"/>
      <c r="O10" s="38"/>
      <c r="P10" s="90"/>
      <c r="Q10" s="38"/>
      <c r="R10" s="82" t="s">
        <v>169</v>
      </c>
      <c r="S10" s="82"/>
      <c r="T10" s="82"/>
      <c r="U10" s="82"/>
      <c r="V10" s="82"/>
      <c r="W10" s="82"/>
      <c r="X10" s="82"/>
      <c r="Y10" s="83"/>
    </row>
    <row r="11" spans="1:25" x14ac:dyDescent="0.25">
      <c r="A11" s="50" t="s">
        <v>56</v>
      </c>
      <c r="B11" s="41" t="s">
        <v>138</v>
      </c>
      <c r="C11" s="41" t="str">
        <f t="shared" si="0"/>
        <v>UK</v>
      </c>
      <c r="D11" s="42">
        <f t="shared" si="1"/>
        <v>45944</v>
      </c>
      <c r="E11" s="43" t="s">
        <v>197</v>
      </c>
      <c r="F11" s="62">
        <v>130</v>
      </c>
      <c r="G11" s="58">
        <v>10</v>
      </c>
      <c r="H11" s="51" t="s">
        <v>59</v>
      </c>
      <c r="J11" s="78"/>
      <c r="K11" s="71" t="s">
        <v>222</v>
      </c>
      <c r="L11" s="38"/>
      <c r="M11" s="38"/>
      <c r="N11" s="38"/>
      <c r="O11" s="38"/>
      <c r="P11" s="90"/>
      <c r="Q11" s="38"/>
      <c r="R11" s="71" t="s">
        <v>187</v>
      </c>
      <c r="S11" s="38"/>
      <c r="T11" s="38"/>
      <c r="U11" s="38"/>
      <c r="V11" s="38"/>
      <c r="W11" s="38"/>
      <c r="X11" s="38"/>
      <c r="Y11" s="77"/>
    </row>
    <row r="12" spans="1:25" x14ac:dyDescent="0.25">
      <c r="A12" s="50" t="s">
        <v>60</v>
      </c>
      <c r="B12" s="41" t="s">
        <v>139</v>
      </c>
      <c r="C12" s="41" t="str">
        <f t="shared" si="0"/>
        <v>IN</v>
      </c>
      <c r="D12" s="42">
        <f t="shared" si="1"/>
        <v>45825</v>
      </c>
      <c r="E12" s="43" t="s">
        <v>198</v>
      </c>
      <c r="F12" s="62">
        <v>950</v>
      </c>
      <c r="G12" s="58">
        <v>25</v>
      </c>
      <c r="H12" s="51" t="s">
        <v>28</v>
      </c>
      <c r="J12" s="78"/>
      <c r="K12" s="84" t="s">
        <v>219</v>
      </c>
      <c r="L12" s="38"/>
      <c r="M12" s="38"/>
      <c r="N12" s="38"/>
      <c r="O12" s="38"/>
      <c r="P12" s="90"/>
      <c r="Q12" s="38"/>
      <c r="R12" s="38"/>
      <c r="S12" s="38"/>
      <c r="T12" s="38"/>
      <c r="U12" s="38"/>
      <c r="V12" s="38"/>
      <c r="W12" s="38"/>
      <c r="X12" s="38"/>
      <c r="Y12" s="77"/>
    </row>
    <row r="13" spans="1:25" x14ac:dyDescent="0.25">
      <c r="A13" s="50" t="s">
        <v>63</v>
      </c>
      <c r="B13" s="41" t="s">
        <v>140</v>
      </c>
      <c r="C13" s="41" t="str">
        <f t="shared" si="0"/>
        <v>AU</v>
      </c>
      <c r="D13" s="42">
        <f t="shared" si="1"/>
        <v>45986</v>
      </c>
      <c r="E13" s="43" t="s">
        <v>199</v>
      </c>
      <c r="F13" s="62">
        <v>90</v>
      </c>
      <c r="G13" s="58">
        <v>40</v>
      </c>
      <c r="H13" s="92" t="s">
        <v>32</v>
      </c>
      <c r="J13" s="78"/>
      <c r="K13" s="38"/>
      <c r="L13" s="38"/>
      <c r="M13" s="38"/>
      <c r="N13" s="38"/>
      <c r="O13" s="38"/>
      <c r="P13" s="90"/>
      <c r="Q13" s="38"/>
      <c r="R13" s="38"/>
      <c r="S13" s="38"/>
      <c r="T13" s="38"/>
      <c r="U13" s="38"/>
      <c r="V13" s="38"/>
      <c r="W13" s="38"/>
      <c r="X13" s="38"/>
      <c r="Y13" s="77"/>
    </row>
    <row r="14" spans="1:25" ht="13" x14ac:dyDescent="0.3">
      <c r="A14" s="50" t="s">
        <v>64</v>
      </c>
      <c r="B14" s="41" t="s">
        <v>141</v>
      </c>
      <c r="C14" s="41" t="str">
        <f t="shared" si="0"/>
        <v>DE</v>
      </c>
      <c r="D14" s="42">
        <f t="shared" si="1"/>
        <v>45999</v>
      </c>
      <c r="E14" s="43" t="s">
        <v>200</v>
      </c>
      <c r="F14" s="62">
        <v>120</v>
      </c>
      <c r="G14" s="58">
        <v>35</v>
      </c>
      <c r="H14" s="92" t="s">
        <v>36</v>
      </c>
      <c r="J14" s="81" t="s">
        <v>170</v>
      </c>
      <c r="K14" s="38"/>
      <c r="L14" s="38"/>
      <c r="M14" s="38"/>
      <c r="N14" s="38"/>
      <c r="O14" s="38"/>
      <c r="P14" s="90"/>
      <c r="Q14" s="38"/>
      <c r="R14" s="71" t="s">
        <v>171</v>
      </c>
      <c r="S14" s="38"/>
      <c r="T14" s="38"/>
      <c r="U14" s="38"/>
      <c r="V14" s="38"/>
      <c r="W14" s="38"/>
      <c r="X14" s="38"/>
      <c r="Y14" s="77"/>
    </row>
    <row r="15" spans="1:25" x14ac:dyDescent="0.25">
      <c r="A15" s="50" t="s">
        <v>66</v>
      </c>
      <c r="B15" s="41" t="s">
        <v>142</v>
      </c>
      <c r="C15" s="41" t="str">
        <f t="shared" si="0"/>
        <v>CA</v>
      </c>
      <c r="D15" s="42">
        <f t="shared" si="1"/>
        <v>45706</v>
      </c>
      <c r="E15" s="43" t="s">
        <v>201</v>
      </c>
      <c r="F15" s="62">
        <v>150</v>
      </c>
      <c r="G15" s="58">
        <v>15</v>
      </c>
      <c r="H15" s="51" t="s">
        <v>28</v>
      </c>
      <c r="J15" s="78"/>
      <c r="K15" s="38"/>
      <c r="L15" s="38"/>
      <c r="M15" s="38"/>
      <c r="N15" s="38"/>
      <c r="O15" s="38"/>
      <c r="P15" s="90"/>
      <c r="Q15" s="38"/>
      <c r="R15" s="38"/>
      <c r="S15" s="38"/>
      <c r="T15" s="38"/>
      <c r="U15" s="38"/>
      <c r="V15" s="38"/>
      <c r="W15" s="38"/>
      <c r="X15" s="38"/>
      <c r="Y15" s="77"/>
    </row>
    <row r="16" spans="1:25" ht="13" x14ac:dyDescent="0.3">
      <c r="A16" s="50" t="s">
        <v>69</v>
      </c>
      <c r="B16" s="41" t="s">
        <v>143</v>
      </c>
      <c r="C16" s="41" t="str">
        <f t="shared" si="0"/>
        <v>ES</v>
      </c>
      <c r="D16" s="42">
        <f t="shared" si="1"/>
        <v>45763</v>
      </c>
      <c r="E16" s="43" t="s">
        <v>202</v>
      </c>
      <c r="F16" s="62">
        <v>250</v>
      </c>
      <c r="G16" s="58">
        <v>20</v>
      </c>
      <c r="H16" s="51" t="s">
        <v>28</v>
      </c>
      <c r="J16" s="81" t="s">
        <v>220</v>
      </c>
      <c r="K16" s="38"/>
      <c r="L16" s="38"/>
      <c r="M16" s="38"/>
      <c r="N16" s="38"/>
      <c r="O16" s="38"/>
      <c r="P16" s="90"/>
      <c r="Q16" s="38"/>
      <c r="R16" s="82" t="s">
        <v>172</v>
      </c>
      <c r="S16" s="82"/>
      <c r="T16" s="82"/>
      <c r="U16" s="82"/>
      <c r="V16" s="38"/>
      <c r="W16" s="38"/>
      <c r="X16" s="38"/>
      <c r="Y16" s="77"/>
    </row>
    <row r="17" spans="1:25" x14ac:dyDescent="0.25">
      <c r="A17" s="50" t="s">
        <v>72</v>
      </c>
      <c r="B17" s="41" t="s">
        <v>144</v>
      </c>
      <c r="C17" s="41" t="str">
        <f t="shared" si="0"/>
        <v>CA</v>
      </c>
      <c r="D17" s="42">
        <f t="shared" si="1"/>
        <v>45890</v>
      </c>
      <c r="E17" s="43" t="s">
        <v>203</v>
      </c>
      <c r="F17" s="62">
        <v>50</v>
      </c>
      <c r="G17" s="58">
        <v>35</v>
      </c>
      <c r="H17" s="51" t="s">
        <v>75</v>
      </c>
      <c r="J17" s="78"/>
      <c r="K17" s="38"/>
      <c r="L17" s="85"/>
      <c r="M17" s="38"/>
      <c r="N17" s="38"/>
      <c r="O17" s="38"/>
      <c r="P17" s="90"/>
      <c r="Q17" s="38"/>
      <c r="R17" s="38"/>
      <c r="S17" s="38"/>
      <c r="T17" s="38"/>
      <c r="U17" s="38"/>
      <c r="V17" s="38"/>
      <c r="W17" s="38"/>
      <c r="X17" s="38"/>
      <c r="Y17" s="77"/>
    </row>
    <row r="18" spans="1:25" ht="13" x14ac:dyDescent="0.3">
      <c r="A18" s="50" t="s">
        <v>76</v>
      </c>
      <c r="B18" s="41" t="s">
        <v>145</v>
      </c>
      <c r="C18" s="41" t="str">
        <f t="shared" si="0"/>
        <v>CN</v>
      </c>
      <c r="D18" s="42">
        <f t="shared" si="1"/>
        <v>45889</v>
      </c>
      <c r="E18" s="43" t="s">
        <v>204</v>
      </c>
      <c r="F18" s="62">
        <v>160</v>
      </c>
      <c r="G18" s="58">
        <v>15</v>
      </c>
      <c r="H18" s="51" t="s">
        <v>28</v>
      </c>
      <c r="J18" s="79" t="s">
        <v>173</v>
      </c>
      <c r="K18" s="80"/>
      <c r="L18" s="38"/>
      <c r="M18" s="38"/>
      <c r="N18" s="38"/>
      <c r="O18" s="38"/>
      <c r="P18" s="90"/>
      <c r="Q18" s="38"/>
      <c r="R18" s="38"/>
      <c r="S18" s="38"/>
      <c r="T18" s="38"/>
      <c r="U18" s="38"/>
      <c r="V18" s="38"/>
      <c r="W18" s="38"/>
      <c r="X18" s="38"/>
      <c r="Y18" s="77"/>
    </row>
    <row r="19" spans="1:25" ht="13" x14ac:dyDescent="0.3">
      <c r="A19" s="50" t="s">
        <v>78</v>
      </c>
      <c r="B19" s="41" t="s">
        <v>146</v>
      </c>
      <c r="C19" s="41" t="str">
        <f t="shared" si="0"/>
        <v>IT</v>
      </c>
      <c r="D19" s="42">
        <f t="shared" si="1"/>
        <v>45684</v>
      </c>
      <c r="E19" s="43" t="s">
        <v>205</v>
      </c>
      <c r="F19" s="62">
        <v>980</v>
      </c>
      <c r="G19" s="58">
        <v>10</v>
      </c>
      <c r="H19" s="51" t="s">
        <v>28</v>
      </c>
      <c r="J19" s="81" t="s">
        <v>175</v>
      </c>
      <c r="K19" s="38"/>
      <c r="L19" s="38"/>
      <c r="M19" s="38"/>
      <c r="N19" s="38"/>
      <c r="O19" s="38"/>
      <c r="P19" s="90"/>
      <c r="Q19" s="38"/>
      <c r="R19" s="82" t="s">
        <v>174</v>
      </c>
      <c r="S19" s="82"/>
      <c r="T19" s="38"/>
      <c r="U19" s="38"/>
      <c r="V19" s="38"/>
      <c r="W19" s="38"/>
      <c r="X19" s="38"/>
      <c r="Y19" s="77"/>
    </row>
    <row r="20" spans="1:25" ht="13" x14ac:dyDescent="0.3">
      <c r="A20" s="50" t="s">
        <v>80</v>
      </c>
      <c r="B20" s="41" t="s">
        <v>147</v>
      </c>
      <c r="C20" s="41" t="str">
        <f t="shared" si="0"/>
        <v>UK</v>
      </c>
      <c r="D20" s="42">
        <f t="shared" si="1"/>
        <v>45717</v>
      </c>
      <c r="E20" s="43" t="s">
        <v>206</v>
      </c>
      <c r="F20" s="62">
        <v>150</v>
      </c>
      <c r="G20" s="58">
        <v>15</v>
      </c>
      <c r="H20" s="51" t="s">
        <v>32</v>
      </c>
      <c r="J20" s="81" t="s">
        <v>176</v>
      </c>
      <c r="K20" s="38"/>
      <c r="L20" s="38"/>
      <c r="M20" s="38"/>
      <c r="N20" s="38"/>
      <c r="O20" s="38"/>
      <c r="P20" s="90"/>
      <c r="Q20" s="38"/>
      <c r="R20" s="82" t="s">
        <v>177</v>
      </c>
      <c r="S20" s="38"/>
      <c r="T20" s="38"/>
      <c r="U20" s="38"/>
      <c r="V20" s="38"/>
      <c r="W20" s="38"/>
      <c r="X20" s="38"/>
      <c r="Y20" s="77"/>
    </row>
    <row r="21" spans="1:25" ht="13" x14ac:dyDescent="0.3">
      <c r="A21" s="50" t="s">
        <v>83</v>
      </c>
      <c r="B21" s="41" t="s">
        <v>148</v>
      </c>
      <c r="C21" s="41" t="str">
        <f t="shared" si="0"/>
        <v>US</v>
      </c>
      <c r="D21" s="42">
        <f t="shared" si="1"/>
        <v>45883</v>
      </c>
      <c r="E21" s="43" t="s">
        <v>207</v>
      </c>
      <c r="F21" s="70">
        <v>130</v>
      </c>
      <c r="G21" s="58">
        <v>10</v>
      </c>
      <c r="H21" s="51" t="s">
        <v>59</v>
      </c>
      <c r="J21" s="81" t="s">
        <v>223</v>
      </c>
      <c r="K21" s="38"/>
      <c r="L21" s="38"/>
      <c r="M21" s="38"/>
      <c r="N21" s="38"/>
      <c r="O21" s="38"/>
      <c r="P21" s="90"/>
      <c r="Q21" s="38"/>
      <c r="R21" s="82" t="s">
        <v>178</v>
      </c>
      <c r="S21" s="82"/>
      <c r="T21" s="82"/>
      <c r="U21" s="82"/>
      <c r="V21" s="38"/>
      <c r="W21" s="38"/>
      <c r="X21" s="38"/>
      <c r="Y21" s="77"/>
    </row>
    <row r="22" spans="1:25" ht="13" thickBot="1" x14ac:dyDescent="0.3">
      <c r="A22" s="50" t="s">
        <v>86</v>
      </c>
      <c r="B22" s="41" t="s">
        <v>149</v>
      </c>
      <c r="C22" s="41" t="str">
        <f t="shared" si="0"/>
        <v>RU</v>
      </c>
      <c r="D22" s="42">
        <f t="shared" si="1"/>
        <v>45791</v>
      </c>
      <c r="E22" s="43" t="s">
        <v>208</v>
      </c>
      <c r="F22" s="62">
        <v>700</v>
      </c>
      <c r="G22" s="58">
        <v>50</v>
      </c>
      <c r="H22" s="51" t="s">
        <v>28</v>
      </c>
      <c r="J22" s="78"/>
      <c r="K22" s="38"/>
      <c r="L22" s="38"/>
      <c r="M22" s="38"/>
      <c r="N22" s="38"/>
      <c r="O22" s="38"/>
      <c r="P22" s="90"/>
      <c r="Q22" s="38"/>
      <c r="R22" s="38"/>
      <c r="S22" s="38"/>
      <c r="T22" s="38"/>
      <c r="U22" s="38"/>
      <c r="V22" s="38"/>
      <c r="W22" s="38"/>
      <c r="X22" s="38"/>
      <c r="Y22" s="77"/>
    </row>
    <row r="23" spans="1:25" ht="13.5" thickBot="1" x14ac:dyDescent="0.35">
      <c r="A23" s="50" t="s">
        <v>89</v>
      </c>
      <c r="B23" s="41" t="s">
        <v>150</v>
      </c>
      <c r="C23" s="41" t="str">
        <f t="shared" si="0"/>
        <v>CA</v>
      </c>
      <c r="D23" s="42">
        <f t="shared" si="1"/>
        <v>45666</v>
      </c>
      <c r="E23" s="43" t="s">
        <v>209</v>
      </c>
      <c r="F23" s="62">
        <v>80</v>
      </c>
      <c r="G23" s="58">
        <v>20</v>
      </c>
      <c r="H23" s="51" t="s">
        <v>36</v>
      </c>
      <c r="J23" s="79" t="s">
        <v>180</v>
      </c>
      <c r="K23" s="80"/>
      <c r="L23" s="44"/>
      <c r="M23" s="38"/>
      <c r="N23" s="38"/>
      <c r="O23" s="38"/>
      <c r="P23" s="90"/>
      <c r="Q23" s="38"/>
      <c r="R23" s="38"/>
      <c r="S23" s="38"/>
      <c r="T23" s="38"/>
      <c r="U23" s="38"/>
      <c r="V23" s="38"/>
      <c r="W23" s="38"/>
      <c r="X23" s="38"/>
      <c r="Y23" s="77"/>
    </row>
    <row r="24" spans="1:25" ht="13" x14ac:dyDescent="0.3">
      <c r="A24" s="50" t="s">
        <v>92</v>
      </c>
      <c r="B24" s="41" t="s">
        <v>135</v>
      </c>
      <c r="C24" s="41" t="str">
        <f t="shared" si="0"/>
        <v>BR</v>
      </c>
      <c r="D24" s="42">
        <f t="shared" si="1"/>
        <v>45857</v>
      </c>
      <c r="E24" s="43" t="s">
        <v>210</v>
      </c>
      <c r="F24" s="62">
        <v>150</v>
      </c>
      <c r="G24" s="58">
        <v>30</v>
      </c>
      <c r="H24" s="51" t="s">
        <v>28</v>
      </c>
      <c r="J24" s="81" t="s">
        <v>185</v>
      </c>
      <c r="K24" s="38"/>
      <c r="L24" s="38"/>
      <c r="M24" s="38"/>
      <c r="N24" s="38"/>
      <c r="O24" s="38"/>
      <c r="P24" s="90"/>
      <c r="Q24" s="38"/>
      <c r="R24" s="38"/>
      <c r="S24" s="38"/>
      <c r="T24" s="38"/>
      <c r="U24" s="38"/>
      <c r="V24" s="38"/>
      <c r="W24" s="38"/>
      <c r="X24" s="38"/>
      <c r="Y24" s="77"/>
    </row>
    <row r="25" spans="1:25" ht="13" x14ac:dyDescent="0.3">
      <c r="A25" s="50" t="s">
        <v>95</v>
      </c>
      <c r="B25" s="41" t="s">
        <v>151</v>
      </c>
      <c r="C25" s="41" t="str">
        <f t="shared" si="0"/>
        <v>CA</v>
      </c>
      <c r="D25" s="42">
        <f t="shared" si="1"/>
        <v>45929</v>
      </c>
      <c r="E25" s="43" t="s">
        <v>211</v>
      </c>
      <c r="F25" s="62">
        <v>800</v>
      </c>
      <c r="G25" s="58">
        <v>45</v>
      </c>
      <c r="H25" s="51" t="s">
        <v>28</v>
      </c>
      <c r="J25" s="81" t="s">
        <v>184</v>
      </c>
      <c r="K25" s="38"/>
      <c r="L25" s="38"/>
      <c r="M25" s="38"/>
      <c r="N25" s="38"/>
      <c r="O25" s="38"/>
      <c r="P25" s="90"/>
      <c r="Q25" s="38"/>
      <c r="R25" s="82" t="s">
        <v>181</v>
      </c>
      <c r="S25" s="82"/>
      <c r="T25" s="82"/>
      <c r="U25" s="82"/>
      <c r="V25" s="38"/>
      <c r="W25" s="38"/>
      <c r="X25" s="38"/>
      <c r="Y25" s="77"/>
    </row>
    <row r="26" spans="1:25" x14ac:dyDescent="0.25">
      <c r="A26" s="50" t="s">
        <v>98</v>
      </c>
      <c r="B26" s="41" t="s">
        <v>152</v>
      </c>
      <c r="C26" s="41" t="str">
        <f t="shared" si="0"/>
        <v>CA</v>
      </c>
      <c r="D26" s="42">
        <f t="shared" si="1"/>
        <v>45811</v>
      </c>
      <c r="E26" s="43" t="s">
        <v>212</v>
      </c>
      <c r="F26" s="62">
        <v>150</v>
      </c>
      <c r="G26" s="58">
        <v>25</v>
      </c>
      <c r="H26" s="51" t="s">
        <v>32</v>
      </c>
      <c r="J26" s="78"/>
      <c r="K26" s="38"/>
      <c r="L26" s="38"/>
      <c r="M26" s="38"/>
      <c r="N26" s="38"/>
      <c r="O26" s="38"/>
      <c r="P26" s="90"/>
      <c r="Q26" s="38"/>
      <c r="R26" s="71" t="s">
        <v>182</v>
      </c>
      <c r="S26" s="38"/>
      <c r="T26" s="38"/>
      <c r="U26" s="38"/>
      <c r="V26" s="38"/>
      <c r="W26" s="38"/>
      <c r="X26" s="38"/>
      <c r="Y26" s="77"/>
    </row>
    <row r="27" spans="1:25" x14ac:dyDescent="0.25">
      <c r="A27" s="50" t="s">
        <v>100</v>
      </c>
      <c r="B27" s="41" t="s">
        <v>153</v>
      </c>
      <c r="C27" s="41" t="str">
        <f t="shared" si="0"/>
        <v>CA</v>
      </c>
      <c r="D27" s="42">
        <f t="shared" si="1"/>
        <v>45849</v>
      </c>
      <c r="E27" s="43" t="s">
        <v>213</v>
      </c>
      <c r="F27" s="62">
        <v>400</v>
      </c>
      <c r="G27" s="58">
        <v>40</v>
      </c>
      <c r="H27" s="51" t="s">
        <v>36</v>
      </c>
      <c r="J27" s="78"/>
      <c r="K27" s="38"/>
      <c r="L27" s="38"/>
      <c r="M27" s="38"/>
      <c r="N27" s="38"/>
      <c r="O27" s="38"/>
      <c r="P27" s="90"/>
      <c r="Q27" s="38"/>
      <c r="R27" s="38"/>
      <c r="S27" s="38"/>
      <c r="T27" s="38"/>
      <c r="U27" s="38"/>
      <c r="V27" s="38"/>
      <c r="W27" s="38"/>
      <c r="X27" s="38"/>
      <c r="Y27" s="77"/>
    </row>
    <row r="28" spans="1:25" ht="13" x14ac:dyDescent="0.3">
      <c r="A28" s="50" t="s">
        <v>102</v>
      </c>
      <c r="B28" s="41" t="s">
        <v>154</v>
      </c>
      <c r="C28" s="41" t="str">
        <f t="shared" si="0"/>
        <v>CA</v>
      </c>
      <c r="D28" s="42">
        <f t="shared" si="1"/>
        <v>45723</v>
      </c>
      <c r="E28" s="43" t="s">
        <v>214</v>
      </c>
      <c r="F28" s="62">
        <v>60</v>
      </c>
      <c r="G28" s="58">
        <v>30</v>
      </c>
      <c r="H28" s="51" t="s">
        <v>32</v>
      </c>
      <c r="J28" s="79" t="s">
        <v>183</v>
      </c>
      <c r="K28" s="80"/>
      <c r="L28" s="38"/>
      <c r="M28" s="38"/>
      <c r="N28" s="38"/>
      <c r="O28" s="38"/>
      <c r="P28" s="90"/>
      <c r="Q28" s="38"/>
      <c r="R28" s="38"/>
      <c r="S28" s="38"/>
      <c r="T28" s="38"/>
      <c r="U28" s="38"/>
      <c r="V28" s="38"/>
      <c r="W28" s="38"/>
      <c r="X28" s="38"/>
      <c r="Y28" s="77"/>
    </row>
    <row r="29" spans="1:25" x14ac:dyDescent="0.25">
      <c r="A29" s="50" t="s">
        <v>105</v>
      </c>
      <c r="B29" s="41" t="s">
        <v>155</v>
      </c>
      <c r="C29" s="41" t="str">
        <f t="shared" si="0"/>
        <v>CA</v>
      </c>
      <c r="D29" s="42">
        <f t="shared" si="1"/>
        <v>45760</v>
      </c>
      <c r="E29" s="43" t="s">
        <v>215</v>
      </c>
      <c r="F29" s="62">
        <v>40</v>
      </c>
      <c r="G29" s="58">
        <v>10</v>
      </c>
      <c r="H29" s="51" t="s">
        <v>36</v>
      </c>
      <c r="J29" s="81" t="s">
        <v>221</v>
      </c>
      <c r="K29" s="38"/>
      <c r="L29" s="38"/>
      <c r="M29" s="38"/>
      <c r="N29" s="38"/>
      <c r="O29" s="38"/>
      <c r="P29" s="90"/>
      <c r="Q29" s="38"/>
      <c r="R29" s="38"/>
      <c r="S29" s="38"/>
      <c r="T29" s="38"/>
      <c r="U29" s="38"/>
      <c r="V29" s="38"/>
      <c r="W29" s="38"/>
      <c r="X29" s="38"/>
      <c r="Y29" s="77"/>
    </row>
    <row r="30" spans="1:25" ht="13" thickBot="1" x14ac:dyDescent="0.3">
      <c r="A30" s="50" t="s">
        <v>108</v>
      </c>
      <c r="B30" s="41" t="s">
        <v>156</v>
      </c>
      <c r="C30" s="41" t="str">
        <f t="shared" si="0"/>
        <v>CA</v>
      </c>
      <c r="D30" s="42">
        <f t="shared" si="1"/>
        <v>45801</v>
      </c>
      <c r="E30" s="43" t="s">
        <v>216</v>
      </c>
      <c r="F30" s="62">
        <v>130</v>
      </c>
      <c r="G30" s="58">
        <v>5</v>
      </c>
      <c r="H30" s="51" t="s">
        <v>28</v>
      </c>
      <c r="J30" s="86"/>
      <c r="K30" s="87"/>
      <c r="L30" s="87"/>
      <c r="M30" s="87"/>
      <c r="N30" s="87"/>
      <c r="O30" s="87"/>
      <c r="P30" s="91"/>
      <c r="Q30" s="87"/>
      <c r="R30" s="87"/>
      <c r="S30" s="87"/>
      <c r="T30" s="87"/>
      <c r="U30" s="87"/>
      <c r="V30" s="87"/>
      <c r="W30" s="87"/>
      <c r="X30" s="87"/>
      <c r="Y30" s="88"/>
    </row>
    <row r="31" spans="1:25" x14ac:dyDescent="0.25">
      <c r="A31" s="50" t="s">
        <v>110</v>
      </c>
      <c r="B31" s="41" t="s">
        <v>157</v>
      </c>
      <c r="C31" s="41" t="str">
        <f t="shared" si="0"/>
        <v>CA</v>
      </c>
      <c r="D31" s="42">
        <f t="shared" si="1"/>
        <v>45993</v>
      </c>
      <c r="E31" s="43" t="s">
        <v>217</v>
      </c>
      <c r="F31" s="62">
        <v>50</v>
      </c>
      <c r="G31" s="58">
        <v>50</v>
      </c>
      <c r="H31" s="51" t="s">
        <v>32</v>
      </c>
    </row>
    <row r="32" spans="1:25" ht="13" thickBot="1" x14ac:dyDescent="0.3">
      <c r="A32" s="52" t="s">
        <v>113</v>
      </c>
      <c r="B32" s="53" t="s">
        <v>158</v>
      </c>
      <c r="C32" s="53" t="str">
        <f t="shared" si="0"/>
        <v>FR</v>
      </c>
      <c r="D32" s="54">
        <f t="shared" si="1"/>
        <v>45847</v>
      </c>
      <c r="E32" s="55" t="s">
        <v>218</v>
      </c>
      <c r="F32" s="63">
        <v>100</v>
      </c>
      <c r="G32" s="59">
        <v>20</v>
      </c>
      <c r="H32" s="56" t="s">
        <v>75</v>
      </c>
    </row>
  </sheetData>
  <conditionalFormatting sqref="F2:F32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{FFD12931-BE8D-487F-8366-14DCB17AF6B5}</x14:id>
        </ext>
      </extLst>
    </cfRule>
  </conditionalFormatting>
  <conditionalFormatting sqref="H1:H1048576">
    <cfRule type="containsText" dxfId="15" priority="1" operator="containsText" text="Electronics">
      <formula>NOT(ISERROR(SEARCH("Electronics",H1)))</formula>
    </cfRule>
    <cfRule type="containsText" dxfId="14" priority="7" operator="containsText" text="Electronics">
      <formula>NOT(ISERROR(SEARCH("Electronics",H1)))</formula>
    </cfRule>
  </conditionalFormatting>
  <conditionalFormatting sqref="H2:H32">
    <cfRule type="containsText" dxfId="13" priority="3" operator="containsText" text="Electronics">
      <formula>NOT(ISERROR(SEARCH("Electronics",H2)))</formula>
    </cfRule>
    <cfRule type="containsText" dxfId="12" priority="5" operator="containsText" text="Electronics">
      <formula>NOT(ISERROR(SEARCH("Electronics",H2)))</formula>
    </cfRule>
  </conditionalFormatting>
  <conditionalFormatting sqref="I21">
    <cfRule type="containsText" dxfId="11" priority="4" operator="containsText" text="Electronics">
      <formula>NOT(ISERROR(SEARCH("Electronics",I21)))</formula>
    </cfRule>
  </conditionalFormatting>
  <conditionalFormatting sqref="F1:F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{7FBA92DB-8272-4D44-B00F-E93F93FA6F5D}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D12931-BE8D-487F-8366-14DCB17AF6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F2:F32</xm:sqref>
        </x14:conditionalFormatting>
        <x14:conditionalFormatting xmlns:xm="http://schemas.microsoft.com/office/excel/2006/main">
          <x14:cfRule type="dataBar" id="{7FBA92DB-8272-4D44-B00F-E93F93FA6F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Assignment2 cleaning</vt:lpstr>
      <vt:lpstr>Assignment2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2026-01-02T19:57:38Z</dcterms:created>
  <dcterms:modified xsi:type="dcterms:W3CDTF">2026-01-08T06:33:40Z</dcterms:modified>
</cp:coreProperties>
</file>