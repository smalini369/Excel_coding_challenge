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9" activeTab="17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  <sheet name="TASK14" sheetId="20" r:id="rId18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J5" i="20" l="1"/>
  <c r="J4" i="20"/>
  <c r="J3" i="20"/>
  <c r="C6" i="20"/>
  <c r="C2" i="20"/>
  <c r="C3" i="20"/>
  <c r="C4" i="20"/>
  <c r="C5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G100" i="20"/>
  <c r="F100" i="20"/>
  <c r="E100" i="20"/>
  <c r="D100" i="20"/>
  <c r="B100" i="20"/>
  <c r="G99" i="20"/>
  <c r="F99" i="20"/>
  <c r="E99" i="20"/>
  <c r="D99" i="20"/>
  <c r="B99" i="20"/>
  <c r="G98" i="20"/>
  <c r="F98" i="20"/>
  <c r="E98" i="20"/>
  <c r="D98" i="20"/>
  <c r="B98" i="20"/>
  <c r="G97" i="20"/>
  <c r="F97" i="20"/>
  <c r="E97" i="20"/>
  <c r="D97" i="20"/>
  <c r="B97" i="20"/>
  <c r="G96" i="20"/>
  <c r="F96" i="20"/>
  <c r="E96" i="20"/>
  <c r="D96" i="20"/>
  <c r="B96" i="20"/>
  <c r="G95" i="20"/>
  <c r="F95" i="20"/>
  <c r="E95" i="20"/>
  <c r="D95" i="20"/>
  <c r="B95" i="20"/>
  <c r="G94" i="20"/>
  <c r="F94" i="20"/>
  <c r="E94" i="20"/>
  <c r="D94" i="20"/>
  <c r="B94" i="20"/>
  <c r="G93" i="20"/>
  <c r="F93" i="20"/>
  <c r="E93" i="20"/>
  <c r="D93" i="20"/>
  <c r="B93" i="20"/>
  <c r="G92" i="20"/>
  <c r="F92" i="20"/>
  <c r="E92" i="20"/>
  <c r="D92" i="20"/>
  <c r="B92" i="20"/>
  <c r="G91" i="20"/>
  <c r="F91" i="20"/>
  <c r="E91" i="20"/>
  <c r="D91" i="20"/>
  <c r="B91" i="20"/>
  <c r="G90" i="20"/>
  <c r="F90" i="20"/>
  <c r="E90" i="20"/>
  <c r="D90" i="20"/>
  <c r="B90" i="20"/>
  <c r="G89" i="20"/>
  <c r="F89" i="20"/>
  <c r="E89" i="20"/>
  <c r="D89" i="20"/>
  <c r="B89" i="20"/>
  <c r="G88" i="20"/>
  <c r="F88" i="20"/>
  <c r="E88" i="20"/>
  <c r="D88" i="20"/>
  <c r="B88" i="20"/>
  <c r="G87" i="20"/>
  <c r="F87" i="20"/>
  <c r="E87" i="20"/>
  <c r="D87" i="20"/>
  <c r="B87" i="20"/>
  <c r="G86" i="20"/>
  <c r="F86" i="20"/>
  <c r="E86" i="20"/>
  <c r="D86" i="20"/>
  <c r="B86" i="20"/>
  <c r="G85" i="20"/>
  <c r="F85" i="20"/>
  <c r="E85" i="20"/>
  <c r="D85" i="20"/>
  <c r="B85" i="20"/>
  <c r="G84" i="20"/>
  <c r="F84" i="20"/>
  <c r="E84" i="20"/>
  <c r="D84" i="20"/>
  <c r="B84" i="20"/>
  <c r="G83" i="20"/>
  <c r="F83" i="20"/>
  <c r="E83" i="20"/>
  <c r="D83" i="20"/>
  <c r="B83" i="20"/>
  <c r="G82" i="20"/>
  <c r="F82" i="20"/>
  <c r="E82" i="20"/>
  <c r="D82" i="20"/>
  <c r="B82" i="20"/>
  <c r="G81" i="20"/>
  <c r="F81" i="20"/>
  <c r="E81" i="20"/>
  <c r="D81" i="20"/>
  <c r="B81" i="20"/>
  <c r="G80" i="20"/>
  <c r="F80" i="20"/>
  <c r="E80" i="20"/>
  <c r="D80" i="20"/>
  <c r="B80" i="20"/>
  <c r="G79" i="20"/>
  <c r="F79" i="20"/>
  <c r="E79" i="20"/>
  <c r="D79" i="20"/>
  <c r="B79" i="20"/>
  <c r="G78" i="20"/>
  <c r="F78" i="20"/>
  <c r="E78" i="20"/>
  <c r="D78" i="20"/>
  <c r="B78" i="20"/>
  <c r="G77" i="20"/>
  <c r="F77" i="20"/>
  <c r="E77" i="20"/>
  <c r="D77" i="20"/>
  <c r="B77" i="20"/>
  <c r="G76" i="20"/>
  <c r="F76" i="20"/>
  <c r="E76" i="20"/>
  <c r="D76" i="20"/>
  <c r="B76" i="20"/>
  <c r="G75" i="20"/>
  <c r="F75" i="20"/>
  <c r="E75" i="20"/>
  <c r="D75" i="20"/>
  <c r="B75" i="20"/>
  <c r="G74" i="20"/>
  <c r="F74" i="20"/>
  <c r="E74" i="20"/>
  <c r="D74" i="20"/>
  <c r="B74" i="20"/>
  <c r="G73" i="20"/>
  <c r="F73" i="20"/>
  <c r="E73" i="20"/>
  <c r="D73" i="20"/>
  <c r="B73" i="20"/>
  <c r="G72" i="20"/>
  <c r="F72" i="20"/>
  <c r="E72" i="20"/>
  <c r="D72" i="20"/>
  <c r="B72" i="20"/>
  <c r="G71" i="20"/>
  <c r="F71" i="20"/>
  <c r="E71" i="20"/>
  <c r="D71" i="20"/>
  <c r="B71" i="20"/>
  <c r="G70" i="20"/>
  <c r="F70" i="20"/>
  <c r="E70" i="20"/>
  <c r="D70" i="20"/>
  <c r="B70" i="20"/>
  <c r="G69" i="20"/>
  <c r="F69" i="20"/>
  <c r="E69" i="20"/>
  <c r="D69" i="20"/>
  <c r="B69" i="20"/>
  <c r="G68" i="20"/>
  <c r="F68" i="20"/>
  <c r="E68" i="20"/>
  <c r="D68" i="20"/>
  <c r="B68" i="20"/>
  <c r="G67" i="20"/>
  <c r="F67" i="20"/>
  <c r="E67" i="20"/>
  <c r="D67" i="20"/>
  <c r="B67" i="20"/>
  <c r="G66" i="20"/>
  <c r="F66" i="20"/>
  <c r="E66" i="20"/>
  <c r="D66" i="20"/>
  <c r="B66" i="20"/>
  <c r="G65" i="20"/>
  <c r="F65" i="20"/>
  <c r="E65" i="20"/>
  <c r="D65" i="20"/>
  <c r="B65" i="20"/>
  <c r="G64" i="20"/>
  <c r="F64" i="20"/>
  <c r="E64" i="20"/>
  <c r="D64" i="20"/>
  <c r="B64" i="20"/>
  <c r="G63" i="20"/>
  <c r="F63" i="20"/>
  <c r="E63" i="20"/>
  <c r="D63" i="20"/>
  <c r="B63" i="20"/>
  <c r="G62" i="20"/>
  <c r="F62" i="20"/>
  <c r="E62" i="20"/>
  <c r="D62" i="20"/>
  <c r="B62" i="20"/>
  <c r="G61" i="20"/>
  <c r="F61" i="20"/>
  <c r="E61" i="20"/>
  <c r="D61" i="20"/>
  <c r="B61" i="20"/>
  <c r="G60" i="20"/>
  <c r="F60" i="20"/>
  <c r="E60" i="20"/>
  <c r="D60" i="20"/>
  <c r="B60" i="20"/>
  <c r="G59" i="20"/>
  <c r="F59" i="20"/>
  <c r="E59" i="20"/>
  <c r="D59" i="20"/>
  <c r="B59" i="20"/>
  <c r="G58" i="20"/>
  <c r="F58" i="20"/>
  <c r="E58" i="20"/>
  <c r="D58" i="20"/>
  <c r="B58" i="20"/>
  <c r="G57" i="20"/>
  <c r="F57" i="20"/>
  <c r="E57" i="20"/>
  <c r="D57" i="20"/>
  <c r="B57" i="20"/>
  <c r="G56" i="20"/>
  <c r="F56" i="20"/>
  <c r="E56" i="20"/>
  <c r="D56" i="20"/>
  <c r="B56" i="20"/>
  <c r="G55" i="20"/>
  <c r="F55" i="20"/>
  <c r="E55" i="20"/>
  <c r="D55" i="20"/>
  <c r="B55" i="20"/>
  <c r="G54" i="20"/>
  <c r="F54" i="20"/>
  <c r="E54" i="20"/>
  <c r="D54" i="20"/>
  <c r="B54" i="20"/>
  <c r="G53" i="20"/>
  <c r="F53" i="20"/>
  <c r="E53" i="20"/>
  <c r="D53" i="20"/>
  <c r="B53" i="20"/>
  <c r="G52" i="20"/>
  <c r="F52" i="20"/>
  <c r="E52" i="20"/>
  <c r="D52" i="20"/>
  <c r="B52" i="20"/>
  <c r="G51" i="20"/>
  <c r="F51" i="20"/>
  <c r="E51" i="20"/>
  <c r="D51" i="20"/>
  <c r="B51" i="20"/>
  <c r="G50" i="20"/>
  <c r="F50" i="20"/>
  <c r="E50" i="20"/>
  <c r="D50" i="20"/>
  <c r="B50" i="20"/>
  <c r="G49" i="20"/>
  <c r="F49" i="20"/>
  <c r="E49" i="20"/>
  <c r="D49" i="20"/>
  <c r="B49" i="20"/>
  <c r="G48" i="20"/>
  <c r="F48" i="20"/>
  <c r="E48" i="20"/>
  <c r="D48" i="20"/>
  <c r="B48" i="20"/>
  <c r="G47" i="20"/>
  <c r="F47" i="20"/>
  <c r="E47" i="20"/>
  <c r="D47" i="20"/>
  <c r="B47" i="20"/>
  <c r="G46" i="20"/>
  <c r="F46" i="20"/>
  <c r="E46" i="20"/>
  <c r="D46" i="20"/>
  <c r="B46" i="20"/>
  <c r="G45" i="20"/>
  <c r="F45" i="20"/>
  <c r="E45" i="20"/>
  <c r="D45" i="20"/>
  <c r="B45" i="20"/>
  <c r="G44" i="20"/>
  <c r="F44" i="20"/>
  <c r="E44" i="20"/>
  <c r="D44" i="20"/>
  <c r="B44" i="20"/>
  <c r="G43" i="20"/>
  <c r="F43" i="20"/>
  <c r="E43" i="20"/>
  <c r="D43" i="20"/>
  <c r="B43" i="20"/>
  <c r="G42" i="20"/>
  <c r="F42" i="20"/>
  <c r="E42" i="20"/>
  <c r="D42" i="20"/>
  <c r="B42" i="20"/>
  <c r="G41" i="20"/>
  <c r="F41" i="20"/>
  <c r="E41" i="20"/>
  <c r="D41" i="20"/>
  <c r="B41" i="20"/>
  <c r="G40" i="20"/>
  <c r="F40" i="20"/>
  <c r="E40" i="20"/>
  <c r="D40" i="20"/>
  <c r="B40" i="20"/>
  <c r="G39" i="20"/>
  <c r="F39" i="20"/>
  <c r="E39" i="20"/>
  <c r="D39" i="20"/>
  <c r="B39" i="20"/>
  <c r="G38" i="20"/>
  <c r="F38" i="20"/>
  <c r="E38" i="20"/>
  <c r="D38" i="20"/>
  <c r="B38" i="20"/>
  <c r="G37" i="20"/>
  <c r="F37" i="20"/>
  <c r="E37" i="20"/>
  <c r="D37" i="20"/>
  <c r="B37" i="20"/>
  <c r="G36" i="20"/>
  <c r="F36" i="20"/>
  <c r="E36" i="20"/>
  <c r="D36" i="20"/>
  <c r="B36" i="20"/>
  <c r="G35" i="20"/>
  <c r="F35" i="20"/>
  <c r="E35" i="20"/>
  <c r="D35" i="20"/>
  <c r="B35" i="20"/>
  <c r="G34" i="20"/>
  <c r="F34" i="20"/>
  <c r="E34" i="20"/>
  <c r="D34" i="20"/>
  <c r="B34" i="20"/>
  <c r="G33" i="20"/>
  <c r="F33" i="20"/>
  <c r="E33" i="20"/>
  <c r="D33" i="20"/>
  <c r="B33" i="20"/>
  <c r="G32" i="20"/>
  <c r="F32" i="20"/>
  <c r="E32" i="20"/>
  <c r="D32" i="20"/>
  <c r="B32" i="20"/>
  <c r="G31" i="20"/>
  <c r="F31" i="20"/>
  <c r="E31" i="20"/>
  <c r="D31" i="20"/>
  <c r="B31" i="20"/>
  <c r="G30" i="20"/>
  <c r="F30" i="20"/>
  <c r="E30" i="20"/>
  <c r="D30" i="20"/>
  <c r="B30" i="20"/>
  <c r="G29" i="20"/>
  <c r="F29" i="20"/>
  <c r="E29" i="20"/>
  <c r="D29" i="20"/>
  <c r="B29" i="20"/>
  <c r="G28" i="20"/>
  <c r="F28" i="20"/>
  <c r="E28" i="20"/>
  <c r="D28" i="20"/>
  <c r="B28" i="20"/>
  <c r="G27" i="20"/>
  <c r="F27" i="20"/>
  <c r="E27" i="20"/>
  <c r="D27" i="20"/>
  <c r="B27" i="20"/>
  <c r="G26" i="20"/>
  <c r="F26" i="20"/>
  <c r="E26" i="20"/>
  <c r="D26" i="20"/>
  <c r="B26" i="20"/>
  <c r="G25" i="20"/>
  <c r="F25" i="20"/>
  <c r="E25" i="20"/>
  <c r="D25" i="20"/>
  <c r="B25" i="20"/>
  <c r="G24" i="20"/>
  <c r="F24" i="20"/>
  <c r="E24" i="20"/>
  <c r="D24" i="20"/>
  <c r="B24" i="20"/>
  <c r="G23" i="20"/>
  <c r="F23" i="20"/>
  <c r="E23" i="20"/>
  <c r="D23" i="20"/>
  <c r="B23" i="20"/>
  <c r="G22" i="20"/>
  <c r="F22" i="20"/>
  <c r="E22" i="20"/>
  <c r="D22" i="20"/>
  <c r="B22" i="20"/>
  <c r="G21" i="20"/>
  <c r="F21" i="20"/>
  <c r="E21" i="20"/>
  <c r="D21" i="20"/>
  <c r="B21" i="20"/>
  <c r="G20" i="20"/>
  <c r="F20" i="20"/>
  <c r="E20" i="20"/>
  <c r="D20" i="20"/>
  <c r="B20" i="20"/>
  <c r="G19" i="20"/>
  <c r="J2" i="20" s="1"/>
  <c r="F19" i="20"/>
  <c r="E19" i="20"/>
  <c r="D19" i="20"/>
  <c r="B19" i="20"/>
  <c r="G18" i="20"/>
  <c r="F18" i="20"/>
  <c r="E18" i="20"/>
  <c r="D18" i="20"/>
  <c r="B18" i="20"/>
  <c r="G17" i="20"/>
  <c r="F17" i="20"/>
  <c r="E17" i="20"/>
  <c r="D17" i="20"/>
  <c r="B17" i="20"/>
  <c r="G16" i="20"/>
  <c r="F16" i="20"/>
  <c r="E16" i="20"/>
  <c r="D16" i="20"/>
  <c r="B16" i="20"/>
  <c r="G15" i="20"/>
  <c r="F15" i="20"/>
  <c r="E15" i="20"/>
  <c r="D15" i="20"/>
  <c r="B15" i="20"/>
  <c r="G14" i="20"/>
  <c r="F14" i="20"/>
  <c r="E14" i="20"/>
  <c r="D14" i="20"/>
  <c r="B14" i="20"/>
  <c r="G13" i="20"/>
  <c r="F13" i="20"/>
  <c r="E13" i="20"/>
  <c r="D13" i="20"/>
  <c r="B13" i="20"/>
  <c r="G12" i="20"/>
  <c r="F12" i="20"/>
  <c r="E12" i="20"/>
  <c r="D12" i="20"/>
  <c r="B12" i="20"/>
  <c r="G11" i="20"/>
  <c r="F11" i="20"/>
  <c r="E11" i="20"/>
  <c r="D11" i="20"/>
  <c r="B11" i="20"/>
  <c r="G10" i="20"/>
  <c r="F10" i="20"/>
  <c r="E10" i="20"/>
  <c r="D10" i="20"/>
  <c r="B10" i="20"/>
  <c r="G9" i="20"/>
  <c r="F9" i="20"/>
  <c r="E9" i="20"/>
  <c r="D9" i="20"/>
  <c r="B9" i="20"/>
  <c r="G8" i="20"/>
  <c r="F8" i="20"/>
  <c r="E8" i="20"/>
  <c r="D8" i="20"/>
  <c r="B8" i="20"/>
  <c r="G7" i="20"/>
  <c r="F7" i="20"/>
  <c r="E7" i="20"/>
  <c r="D7" i="20"/>
  <c r="B7" i="20"/>
  <c r="G6" i="20"/>
  <c r="F6" i="20"/>
  <c r="E6" i="20"/>
  <c r="D6" i="20"/>
  <c r="B6" i="20"/>
  <c r="G5" i="20"/>
  <c r="F5" i="20"/>
  <c r="E5" i="20"/>
  <c r="D5" i="20"/>
  <c r="B5" i="20"/>
  <c r="G4" i="20"/>
  <c r="F4" i="20"/>
  <c r="E4" i="20"/>
  <c r="D4" i="20"/>
  <c r="B4" i="20"/>
  <c r="G3" i="20"/>
  <c r="F3" i="20"/>
  <c r="E3" i="20"/>
  <c r="D3" i="20"/>
  <c r="B3" i="20"/>
  <c r="G2" i="20"/>
  <c r="F2" i="20"/>
  <c r="E2" i="20"/>
  <c r="D2" i="20"/>
  <c r="B2" i="20"/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<sst xmlns="http://schemas.openxmlformats.org/spreadsheetml/2006/main" count="11525" uniqueCount="409">
  <si>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</si>
  <si>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</si>
  <si>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</si>
  <si>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</si>
  <si>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</si>
  <si>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</si>
  <si>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</si>
  <si>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</si>
  <si>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</si>
  <si>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</si>
  <si>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</si>
  <si>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</si>
  <si>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</si>
  <si>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</si>
  <si>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</si>
  <si>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</si>
  <si>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</si>
  <si>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</si>
  <si>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</si>
  <si>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</si>
  <si>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</si>
  <si>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</si>
  <si>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</si>
  <si>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</si>
  <si>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</si>
  <si>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</si>
  <si>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</si>
  <si>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</si>
  <si>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</si>
  <si>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</si>
  <si>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</si>
  <si>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</si>
  <si>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</si>
  <si>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</si>
  <si>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</si>
  <si>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</si>
  <si>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</si>
  <si>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</si>
  <si>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</si>
  <si>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</si>
  <si>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</si>
  <si>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</si>
  <si>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</si>
  <si>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</si>
  <si>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</si>
  <si>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</si>
  <si>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</si>
  <si>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</si>
  <si>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</si>
  <si>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</si>
  <si>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</si>
  <si>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</si>
  <si>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</si>
  <si>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</si>
  <si>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</si>
  <si>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</si>
  <si>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</si>
  <si>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</si>
  <si>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</si>
  <si>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</si>
  <si>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</si>
  <si>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</si>
  <si>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</si>
  <si>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</si>
  <si>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</si>
  <si>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</si>
  <si>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</si>
  <si>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</si>
  <si>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</si>
  <si>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</si>
  <si>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</si>
  <si>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</si>
  <si>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</si>
  <si>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</si>
  <si>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</si>
  <si>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</si>
  <si>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</si>
  <si>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</si>
  <si>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</si>
  <si>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</si>
  <si>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</si>
  <si>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</si>
  <si>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</si>
  <si>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</si>
  <si>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</si>
  <si>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</si>
  <si>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</si>
  <si>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</si>
  <si>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</si>
  <si>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</si>
  <si>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</si>
  <si>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</si>
  <si>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</si>
  <si>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</si>
  <si>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</si>
  <si>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</si>
  <si>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</si>
  <si>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</si>
  <si>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</si>
  <si>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</si>
  <si>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</si>
  <si>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</si>
  <si>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</si>
  <si>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</si>
  <si>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</si>
  <si>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</si>
  <si>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</si>
  <si>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</si>
  <si>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</si>
  <si>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</si>
  <si>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</si>
  <si>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</si>
  <si>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</si>
  <si>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</si>
  <si>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</si>
  <si>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</si>
  <si>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</si>
  <si>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</si>
  <si>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</si>
  <si>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</si>
  <si>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</si>
  <si>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</si>
  <si>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</si>
  <si>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</si>
  <si>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</si>
  <si>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</si>
  <si>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</si>
  <si>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</si>
  <si>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</si>
  <si>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</si>
  <si>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</si>
  <si>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</si>
  <si>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</si>
  <si>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</si>
  <si>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</si>
  <si>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</si>
  <si>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</si>
  <si>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</si>
  <si>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</si>
  <si>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</si>
  <si>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</si>
  <si>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</si>
  <si>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</si>
  <si>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</si>
  <si>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</si>
  <si>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</si>
  <si>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</si>
  <si>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</si>
  <si>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</si>
  <si>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</si>
  <si>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</si>
  <si>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</si>
  <si>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</si>
  <si>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</si>
  <si>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</si>
  <si>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</si>
  <si>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</si>
  <si>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</si>
  <si>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</si>
  <si>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</si>
  <si>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</si>
  <si>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</si>
  <si>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</si>
  <si>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</si>
  <si>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</si>
  <si>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</si>
  <si>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</si>
  <si>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</si>
  <si>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</si>
  <si>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</si>
  <si>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</si>
  <si>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</si>
  <si>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</si>
  <si>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</si>
  <si>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</si>
  <si>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</si>
  <si>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</si>
  <si>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</si>
  <si>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</si>
  <si>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</si>
  <si>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</si>
  <si>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</si>
  <si>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</si>
  <si>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</si>
  <si>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</si>
  <si>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</si>
  <si>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</si>
  <si>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</si>
  <si>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</si>
  <si>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</si>
  <si>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</si>
  <si>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</si>
  <si>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</si>
  <si>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</si>
  <si>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</si>
  <si>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</si>
  <si>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</si>
  <si>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</si>
  <si>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</si>
  <si>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</si>
  <si>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</si>
  <si>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</si>
  <si>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</si>
  <si>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</si>
  <si>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</si>
  <si>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</si>
  <si>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</si>
  <si>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</si>
  <si>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</si>
  <si>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</si>
  <si>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</si>
  <si>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</si>
  <si>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</si>
  <si>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</si>
  <si>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</si>
  <si>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</si>
  <si>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</si>
  <si>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</si>
  <si>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</si>
  <si>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</si>
  <si>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</si>
  <si>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</si>
  <si>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</si>
  <si>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</si>
  <si>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</si>
  <si>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</si>
  <si>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</si>
  <si>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</si>
  <si>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</si>
  <si>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</si>
  <si>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</si>
  <si>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</si>
  <si>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</si>
  <si>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</si>
  <si>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</si>
  <si>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</si>
  <si>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</si>
  <si>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</si>
  <si>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</si>
  <si>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</si>
  <si>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</si>
  <si>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</si>
  <si>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</si>
  <si>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</si>
  <si>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</si>
  <si>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</si>
  <si>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</si>
  <si>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</si>
  <si>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</si>
  <si>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</si>
  <si>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</si>
  <si>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</si>
  <si>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</si>
  <si>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</si>
  <si>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</si>
  <si>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</si>
  <si>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</si>
  <si>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</si>
  <si>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</si>
  <si>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</si>
  <si>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</si>
  <si>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</si>
  <si>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</si>
  <si>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</si>
  <si>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</si>
  <si>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</si>
  <si>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</si>
  <si>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</si>
  <si>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</si>
  <si>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</si>
  <si>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</si>
  <si>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</si>
  <si>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</si>
  <si>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</si>
  <si>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</si>
  <si>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</si>
  <si>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</si>
  <si>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</si>
  <si>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</si>
  <si>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</si>
  <si>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</si>
  <si>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</si>
  <si>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</si>
  <si>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</si>
  <si>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</si>
  <si>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</si>
  <si>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</si>
  <si>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</si>
  <si>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</si>
  <si>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</si>
  <si>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</si>
  <si>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</si>
  <si>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</si>
  <si>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</si>
  <si>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</si>
  <si>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</si>
  <si>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</si>
  <si>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</si>
  <si>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</si>
  <si>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</si>
  <si>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</si>
  <si>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</si>
  <si>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</si>
  <si>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</si>
  <si>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</si>
  <si>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</si>
  <si>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</si>
  <si>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</si>
  <si>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</si>
  <si>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</si>
  <si>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</si>
  <si>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</si>
  <si>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</si>
  <si>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</si>
  <si>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</si>
  <si>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</si>
  <si>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</si>
  <si>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</si>
  <si>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</si>
  <si>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</si>
  <si>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</si>
  <si>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</si>
  <si>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</si>
  <si>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</si>
  <si>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</si>
  <si>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</si>
  <si>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</si>
  <si>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</si>
  <si>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</si>
  <si>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</si>
  <si>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</si>
  <si>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</si>
  <si>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</si>
  <si>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</si>
  <si>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</si>
  <si>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</si>
  <si>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</si>
  <si>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</si>
  <si>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</si>
  <si>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</si>
  <si>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</si>
  <si>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</si>
  <si>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</si>
  <si>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</si>
  <si>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</si>
  <si>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</si>
  <si>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</si>
  <si>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</si>
  <si>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</si>
  <si>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</si>
  <si>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</si>
  <si>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</si>
  <si>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</si>
  <si>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</si>
  <si>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</si>
  <si>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</si>
  <si>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</si>
  <si>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</si>
  <si>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</si>
  <si>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</si>
  <si>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</si>
  <si>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</si>
  <si>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</si>
  <si>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</si>
  <si>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</si>
  <si>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</si>
  <si>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</si>
  <si>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</si>
  <si>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</si>
  <si>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</si>
  <si>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</si>
  <si>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</si>
  <si>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</si>
  <si>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</si>
  <si>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</si>
  <si>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</si>
  <si>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</si>
  <si>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</si>
  <si>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</si>
  <si>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</si>
  <si>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</si>
  <si>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</si>
  <si>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</si>
  <si>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</si>
  <si>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</si>
  <si>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</si>
  <si>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</si>
  <si>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</si>
  <si>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</si>
  <si>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</si>
  <si>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</si>
  <si>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</si>
  <si>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</si>
  <si>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</si>
  <si>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</si>
  <si>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</si>
  <si>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</si>
  <si>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</si>
  <si>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</si>
  <si>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</si>
  <si>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</si>
  <si>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</si>
  <si>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</si>
  <si>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</si>
  <si>
    <t>INDEX AND MATCHING</t>
  </si>
  <si>
    <t>PERFORMANCE RATING</t>
  </si>
  <si>
    <t>GENDER</t>
  </si>
  <si>
    <t>COUNTRY</t>
  </si>
  <si>
    <t>Department wise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</si>
</sst>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  <xf numFmtId="0" fontId="18" fillId="20" borderId="0" xfId="0" applyFont="1" applyFill="1"/>
    <xf numFmtId="0" fontId="21" fillId="21" borderId="0" xfId="0" applyFont="1" applyFill="1"/>
    <xf numFmtId="0" fontId="21" fillId="21" borderId="0" xfId="0" applyFont="1" applyFill="1" applyAlignment="1">
      <alignment horizontal="center"/>
    </xf>
  </cellXfs>
  <cellStyles count="2">
    <cellStyle name="Heading 1" xfId="1" builtinId="16"/>
    <cellStyle name="Normal" xfId="0" builtinId="0"/>
  </cellStyles>
  <dxfs count="29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95" headerRowBorderDxfId="294" tableBorderDxfId="293">
  <autoFilter ref="A1:H152"/>
  <tableColumns count="8">
    <tableColumn id="1" name="Employee ID"/>
    <tableColumn id="2" name="Name"/>
    <tableColumn id="3" name="Department"/>
    <tableColumn id="4" name="Country"/>
    <tableColumn id="5" name="Salary" dataDxfId="292" totalsRowDxfId="291"/>
    <tableColumn id="6" name="Performance Rating" dataDxfId="290" totalsRowDxfId="289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88" headerRowBorderDxfId="287" tableBorderDxfId="286">
  <autoFilter ref="A1:H151"/>
  <tableColumns count="8">
    <tableColumn id="1" name="Employee ID"/>
    <tableColumn id="2" name="Name"/>
    <tableColumn id="3" name="Department"/>
    <tableColumn id="4" name="Country"/>
    <tableColumn id="5" name="Salary" dataDxfId="285" totalsRowDxfId="284"/>
    <tableColumn id="6" name="Performance Rating" dataDxfId="283" totalsRowDxfId="282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81" headerRowBorderDxfId="280" tableBorderDxfId="279">
  <autoFilter ref="J3:K9"/>
  <tableColumns count="2">
    <tableColumn id="1" name="TO FIND" dataDxfId="278"/>
    <tableColumn id="2" name=" RESULT FOR SALARY COLUMN" dataDxfId="27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76" headerRowBorderDxfId="275" tableBorderDxfId="274">
  <autoFilter ref="A1:I151"/>
  <tableColumns count="9">
    <tableColumn id="1" name="Employee ID"/>
    <tableColumn id="2" name="Name"/>
    <tableColumn id="3" name="Department"/>
    <tableColumn id="4" name="Country"/>
    <tableColumn id="5" name="Salary" dataDxfId="273" totalsRowDxfId="272"/>
    <tableColumn id="6" name="Performance Rating" dataDxfId="271" totalsRowDxfId="270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69" headerRowBorderDxfId="268" tableBorderDxfId="267">
  <autoFilter ref="J3:K9"/>
  <tableColumns count="2">
    <tableColumn id="1" name="TO FIND" dataDxfId="266"/>
    <tableColumn id="2" name=" RESULT FOR SALARY COLUMN" dataDxfId="265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64" headerRowBorderDxfId="263" tableBorderDxfId="262">
  <autoFilter ref="A1:N151"/>
  <tableColumns count="14">
    <tableColumn id="1" name="Employee ID"/>
    <tableColumn id="2" name="Name"/>
    <tableColumn id="3" name="Department"/>
    <tableColumn id="4" name="Country"/>
    <tableColumn id="5" name="Salary" dataDxfId="261" totalsRowDxfId="260"/>
    <tableColumn id="6" name="Performance Rating" dataDxfId="259" totalsRowDxfId="258"/>
    <tableColumn id="7" name="Gender"/>
    <tableColumn id="8" name="Email"/>
    <tableColumn id="9" name="LEFT B2,4" dataDxfId="257">
      <calculatedColumnFormula>LEFT(B2,4)</calculatedColumnFormula>
    </tableColumn>
    <tableColumn id="10" name="RIGHT B2,4" dataDxfId="256">
      <calculatedColumnFormula>RIGHT(B2,4)</calculatedColumnFormula>
    </tableColumn>
    <tableColumn id="11" name="UPPER B2" dataDxfId="255">
      <calculatedColumnFormula>UPPER(B2)</calculatedColumnFormula>
    </tableColumn>
    <tableColumn id="12" name="LOWER B2" dataDxfId="254">
      <calculatedColumnFormula>LOWER(B2)</calculatedColumnFormula>
    </tableColumn>
    <tableColumn id="13" name="PROPER B2" dataDxfId="253">
      <calculatedColumnFormula>PROPER(B2)</calculatedColumnFormula>
    </tableColumn>
    <tableColumn id="14" name="MID A2" dataDxfId="252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251" headerRowBorderDxfId="250" tableBorderDxfId="249" totalsRowBorderDxfId="248">
  <autoFilter ref="A1:I151"/>
  <tableColumns count="9">
    <tableColumn id="1" name="Employee ID" dataDxfId="247"/>
    <tableColumn id="2" name="Name" dataDxfId="246"/>
    <tableColumn id="3" name="Department" dataDxfId="245"/>
    <tableColumn id="4" name="Country" dataDxfId="244"/>
    <tableColumn id="5" name="Salary" dataDxfId="243"/>
    <tableColumn id="6" name="Date of Joining" dataDxfId="242"/>
    <tableColumn id="7" name="Performance Rating" dataDxfId="241"/>
    <tableColumn id="8" name="Gender" dataDxfId="240"/>
    <tableColumn id="9" name="Email" dataDxfId="239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38" headerRowBorderDxfId="237" tableBorderDxfId="236" totalsRowBorderDxfId="235">
  <autoFilter ref="A1:O100"/>
  <tableColumns count="15">
    <tableColumn id="1" name="Employee ID" dataDxfId="234"/>
    <tableColumn id="2" name="Name" dataDxfId="233"/>
    <tableColumn id="3" name="Department" dataDxfId="232"/>
    <tableColumn id="4" name="Country" dataDxfId="231"/>
    <tableColumn id="5" name="Salary" dataDxfId="230"/>
    <tableColumn id="6" name="Date of JoininG" dataDxfId="229"/>
    <tableColumn id="7" name="Performance Rating" dataDxfId="228"/>
    <tableColumn id="8" name="Gender" dataDxfId="227"/>
    <tableColumn id="9" name="Email" dataDxfId="226"/>
    <tableColumn id="12" name="Name cleaned" dataDxfId="225">
      <calculatedColumnFormula>IF(ISBLANK(B2),"UNKNOWN",B2)</calculatedColumnFormula>
    </tableColumn>
    <tableColumn id="14" name="Department2" dataDxfId="224">
      <calculatedColumnFormula>IF(ISBLANK(C2),"Unknown",C2)</calculatedColumnFormula>
    </tableColumn>
    <tableColumn id="15" name="Country2" dataDxfId="223">
      <calculatedColumnFormula>IF(ISBLANK(D2),"unknown",D2)</calculatedColumnFormula>
    </tableColumn>
    <tableColumn id="13" name="Gender cleaned" dataDxfId="222">
      <calculatedColumnFormula>PROPER(H2)</calculatedColumnFormula>
    </tableColumn>
    <tableColumn id="16" name="Department wise Salary" dataDxfId="221">
      <calculatedColumnFormula>IF(E2="N/A",AVERAGEIF(Table79[Department],Table79[[#This Row],[Department]],Table79[Salary]),E2)</calculatedColumnFormula>
    </tableColumn>
    <tableColumn id="17" name="Country wise salary" dataDxfId="220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219" dataDxfId="218">
  <autoFilter ref="A1:I100"/>
  <tableColumns count="9">
    <tableColumn id="1" name="Employee ID" dataDxfId="217"/>
    <tableColumn id="2" name="Name" dataDxfId="216"/>
    <tableColumn id="3" name="Department" dataDxfId="215"/>
    <tableColumn id="4" name="Country" dataDxfId="214"/>
    <tableColumn id="5" name="Salary by Department" dataDxfId="213"/>
    <tableColumn id="6" name="Salary by Country" dataDxfId="212"/>
    <tableColumn id="7" name="Gender" dataDxfId="211"/>
    <tableColumn id="11" name="Email id" dataDxfId="210"/>
    <tableColumn id="12" name="Performance Rating" dataDxfId="209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208"/>
    <tableColumn id="20" uniqueName="20" name="Name" queryTableFieldId="2" dataDxfId="207"/>
    <tableColumn id="21" uniqueName="21" name="Department" queryTableFieldId="3" dataDxfId="206"/>
    <tableColumn id="22" uniqueName="22" name="Country" queryTableFieldId="4" dataDxfId="205"/>
    <tableColumn id="23" uniqueName="23" name="Salary by Department" queryTableFieldId="5" dataDxfId="204"/>
    <tableColumn id="24" uniqueName="24" name="Salary by Country" queryTableFieldId="6" dataDxfId="203"/>
    <tableColumn id="25" uniqueName="25" name="Gender" queryTableFieldId="7" dataDxfId="202"/>
    <tableColumn id="26" uniqueName="26" name="Performance Rating" queryTableFieldId="8" dataDxfId="201"/>
    <tableColumn id="27" uniqueName="27" name="Email id" queryTableFieldId="9" dataDxfId="20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99" headerRowBorderDxfId="198" tableBorderDxfId="197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96"/>
    <tableColumn id="6" name="Date of Joining" dataDxfId="195"/>
    <tableColumn id="7" name="Performance Rating"/>
    <tableColumn id="8" name="Gender"/>
    <tableColumn id="9" name="Email"/>
    <tableColumn id="10" name="Flash Fill time" dataDxfId="194"/>
    <tableColumn id="11" name="TRIM" dataDxfId="193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92" dataDxfId="190" headerRowBorderDxfId="191" tableBorderDxfId="189">
  <autoFilter ref="A1:H151"/>
  <tableColumns count="8">
    <tableColumn id="1" name="Employee ID" dataDxfId="188"/>
    <tableColumn id="2" name="Name" dataDxfId="187"/>
    <tableColumn id="3" name="Department" dataDxfId="186"/>
    <tableColumn id="4" name="Country" dataDxfId="185"/>
    <tableColumn id="5" name="Salary" dataDxfId="184" totalsRowDxfId="183"/>
    <tableColumn id="6" name="Performance Rating" dataDxfId="182" totalsRowDxfId="181"/>
    <tableColumn id="7" name="Gender" dataDxfId="180"/>
    <tableColumn id="8" name="Email" dataDxfId="179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178" dataDxfId="177">
  <autoFilter ref="A1:I100"/>
  <tableColumns count="9">
    <tableColumn id="1" name="Employee ID" dataDxfId="176"/>
    <tableColumn id="2" name="Name" dataDxfId="175"/>
    <tableColumn id="3" name="Department" dataDxfId="174"/>
    <tableColumn id="4" name="Country" dataDxfId="173"/>
    <tableColumn id="5" name="Salary by Department" dataDxfId="172"/>
    <tableColumn id="6" name="Salary by Country" dataDxfId="171"/>
    <tableColumn id="7" name="Gender" dataDxfId="170"/>
    <tableColumn id="11" name="Email id" dataDxfId="169"/>
    <tableColumn id="12" name="Performance Rating" dataDxfId="168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167" dataDxfId="165" headerRowBorderDxfId="166" tableBorderDxfId="164" totalsRowBorderDxfId="163">
  <autoFilter ref="K3:N16"/>
  <tableColumns count="4">
    <tableColumn id="1" name="Salary by Department" dataDxfId="162"/>
    <tableColumn id="2" name="Value1" dataDxfId="161"/>
    <tableColumn id="3" name="Salary by Country" dataDxfId="160"/>
    <tableColumn id="4" name="Value2" dataDxfId="1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158" dataDxfId="157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156"/>
    <tableColumn id="2" name="Name" dataDxfId="155"/>
    <tableColumn id="3" name="Department" dataDxfId="154"/>
    <tableColumn id="4" name="Country" dataDxfId="153"/>
    <tableColumn id="5" name="Salary by Department" dataDxfId="152"/>
    <tableColumn id="6" name="Salary by Country" dataDxfId="151"/>
    <tableColumn id="7" name="Gender" dataDxfId="150"/>
    <tableColumn id="11" name="Email id" dataDxfId="149"/>
    <tableColumn id="12" name="Performance Rating" dataDxfId="148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147">
  <autoFilter ref="A1:C6"/>
  <tableColumns count="3">
    <tableColumn id="1" name="Findings" dataDxfId="146"/>
    <tableColumn id="2" name="Reference" dataDxfId="145"/>
    <tableColumn id="3" name="Result" dataDxfId="144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143" dataDxfId="142">
  <autoFilter ref="A1:I100"/>
  <tableColumns count="9">
    <tableColumn id="1" name="Employee ID" dataDxfId="141"/>
    <tableColumn id="2" name="Name" dataDxfId="140"/>
    <tableColumn id="3" name="Department" dataDxfId="139"/>
    <tableColumn id="4" name="Country" dataDxfId="138"/>
    <tableColumn id="5" name="Salary by Department" dataDxfId="137"/>
    <tableColumn id="6" name="Salary by Country" dataDxfId="136"/>
    <tableColumn id="7" name="Gender" dataDxfId="135"/>
    <tableColumn id="11" name="Email id" dataDxfId="134"/>
    <tableColumn id="12" name="Performance Rating" dataDxfId="133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132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820" displayName="Table1820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 dataDxfId="130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131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29" priority="5">
      <formula>LEN(TRIM(B1))=0</formula>
    </cfRule>
    <cfRule type="containsBlanks" dxfId="128" priority="6">
      <formula>LEN(TRIM(B1))=0</formula>
    </cfRule>
  </conditionalFormatting>
  <conditionalFormatting sqref="H1:H1048576">
    <cfRule type="containsText" dxfId="127" priority="1" operator="containsText" text="unknown">
      <formula>NOT(ISERROR(SEARCH("unknown",H1)))</formula>
    </cfRule>
    <cfRule type="containsText" dxfId="126" priority="2" operator="containsText" text="unknown">
      <formula>NOT(ISERROR(SEARCH("unknown",H1)))</formula>
    </cfRule>
    <cfRule type="duplicateValues" dxfId="125" priority="4"/>
  </conditionalFormatting>
  <conditionalFormatting sqref="K10">
    <cfRule type="containsText" dxfId="124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3" priority="19">
      <formula>LEN(TRIM(B1))=0</formula>
    </cfRule>
    <cfRule type="containsBlanks" dxfId="122" priority="20">
      <formula>LEN(TRIM(B1))=0</formula>
    </cfRule>
    <cfRule type="timePeriod" dxfId="121" priority="24" timePeriod="yesterday">
      <formula>FLOOR(B1,1)=TODAY()-1</formula>
    </cfRule>
    <cfRule type="containsBlanks" dxfId="120" priority="25">
      <formula>LEN(TRIM(B1))=0</formula>
    </cfRule>
  </conditionalFormatting>
  <conditionalFormatting sqref="C1:C151 C359:C1048576">
    <cfRule type="containsBlanks" dxfId="119" priority="22">
      <formula>LEN(TRIM(C1))=0</formula>
    </cfRule>
    <cfRule type="containsBlanks" dxfId="118" priority="23">
      <formula>LEN(TRIM(C1))=0</formula>
    </cfRule>
  </conditionalFormatting>
  <conditionalFormatting sqref="D1:D151 D359:D1048576">
    <cfRule type="containsBlanks" dxfId="117" priority="21">
      <formula>LEN(TRIM(D1))=0</formula>
    </cfRule>
  </conditionalFormatting>
  <conditionalFormatting sqref="E1:E151 E359:E1048576">
    <cfRule type="containsText" dxfId="116" priority="13" operator="containsText" text="N/A">
      <formula>NOT(ISERROR(SEARCH("N/A",E1)))</formula>
    </cfRule>
    <cfRule type="containsBlanks" dxfId="115" priority="18">
      <formula>LEN(TRIM(E1))=0</formula>
    </cfRule>
  </conditionalFormatting>
  <conditionalFormatting sqref="F1:F151 F359:F1048576">
    <cfRule type="containsBlanks" dxfId="114" priority="17">
      <formula>LEN(TRIM(F1))=0</formula>
    </cfRule>
  </conditionalFormatting>
  <conditionalFormatting sqref="G1:G151 G359:G1048576">
    <cfRule type="containsText" dxfId="113" priority="4" operator="containsText" text="other">
      <formula>NOT(ISERROR(SEARCH("other",G1)))</formula>
    </cfRule>
    <cfRule type="containsText" dxfId="112" priority="5" operator="containsText" text="other">
      <formula>NOT(ISERROR(SEARCH("other",G1)))</formula>
    </cfRule>
    <cfRule type="containsText" dxfId="111" priority="6" operator="containsText" text="others">
      <formula>NOT(ISERROR(SEARCH("others",G1)))</formula>
    </cfRule>
    <cfRule type="containsText" dxfId="110" priority="7" operator="containsText" text="others">
      <formula>NOT(ISERROR(SEARCH("others",G1)))</formula>
    </cfRule>
    <cfRule type="containsText" dxfId="109" priority="8" operator="containsText" text="others">
      <formula>NOT(ISERROR(SEARCH("others",G1)))</formula>
    </cfRule>
    <cfRule type="containsText" dxfId="108" priority="9" operator="containsText" text="female">
      <formula>NOT(ISERROR(SEARCH("female",G1)))</formula>
    </cfRule>
    <cfRule type="containsText" dxfId="107" priority="10" operator="containsText" text="male">
      <formula>NOT(ISERROR(SEARCH("male",G1)))</formula>
    </cfRule>
    <cfRule type="containsText" dxfId="106" priority="11" operator="containsText" text="unknown">
      <formula>NOT(ISERROR(SEARCH("unknown",G1)))</formula>
    </cfRule>
    <cfRule type="cellIs" dxfId="105" priority="12" operator="greaterThan">
      <formula>"unknown"</formula>
    </cfRule>
    <cfRule type="containsBlanks" dxfId="104" priority="16">
      <formula>LEN(TRIM(G1))=0</formula>
    </cfRule>
  </conditionalFormatting>
  <conditionalFormatting sqref="H1:H151 H359:H1048576">
    <cfRule type="containsText" dxfId="103" priority="2" operator="containsText" text="invalid_email">
      <formula>NOT(ISERROR(SEARCH("invalid_email",H1)))</formula>
    </cfRule>
    <cfRule type="containsText" dxfId="102" priority="3" operator="containsText" text="invalid_email">
      <formula>NOT(ISERROR(SEARCH("invalid_email",H1)))</formula>
    </cfRule>
    <cfRule type="containsBlanks" dxfId="101" priority="14">
      <formula>LEN(TRIM(H1))=0</formula>
    </cfRule>
    <cfRule type="containsBlanks" dxfId="100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99" priority="18">
      <formula>LEN(TRIM(B1))=0</formula>
    </cfRule>
    <cfRule type="containsBlanks" dxfId="98" priority="19">
      <formula>LEN(TRIM(B1))=0</formula>
    </cfRule>
    <cfRule type="timePeriod" dxfId="97" priority="23" timePeriod="yesterday">
      <formula>FLOOR(B1,1)=TODAY()-1</formula>
    </cfRule>
    <cfRule type="containsBlanks" dxfId="96" priority="24">
      <formula>LEN(TRIM(B1))=0</formula>
    </cfRule>
  </conditionalFormatting>
  <conditionalFormatting sqref="C1:C151 C357:C1048576">
    <cfRule type="containsBlanks" dxfId="95" priority="21">
      <formula>LEN(TRIM(C1))=0</formula>
    </cfRule>
    <cfRule type="containsBlanks" dxfId="94" priority="22">
      <formula>LEN(TRIM(C1))=0</formula>
    </cfRule>
  </conditionalFormatting>
  <conditionalFormatting sqref="D1:D151 D357:D1048576">
    <cfRule type="containsBlanks" dxfId="93" priority="20">
      <formula>LEN(TRIM(D1))=0</formula>
    </cfRule>
  </conditionalFormatting>
  <conditionalFormatting sqref="E1:E151 E357:E1048576">
    <cfRule type="containsText" dxfId="92" priority="12" operator="containsText" text="N/A">
      <formula>NOT(ISERROR(SEARCH("N/A",E1)))</formula>
    </cfRule>
    <cfRule type="containsBlanks" dxfId="91" priority="17">
      <formula>LEN(TRIM(E1))=0</formula>
    </cfRule>
  </conditionalFormatting>
  <conditionalFormatting sqref="F1:F151 F357:F1048576">
    <cfRule type="containsBlanks" dxfId="90" priority="16">
      <formula>LEN(TRIM(F1))=0</formula>
    </cfRule>
  </conditionalFormatting>
  <conditionalFormatting sqref="G1:G151 G357:G1048576">
    <cfRule type="containsText" dxfId="89" priority="3" operator="containsText" text="other">
      <formula>NOT(ISERROR(SEARCH("other",G1)))</formula>
    </cfRule>
    <cfRule type="containsText" dxfId="88" priority="4" operator="containsText" text="other">
      <formula>NOT(ISERROR(SEARCH("other",G1)))</formula>
    </cfRule>
    <cfRule type="containsText" dxfId="87" priority="5" operator="containsText" text="others">
      <formula>NOT(ISERROR(SEARCH("others",G1)))</formula>
    </cfRule>
    <cfRule type="containsText" dxfId="86" priority="6" operator="containsText" text="others">
      <formula>NOT(ISERROR(SEARCH("others",G1)))</formula>
    </cfRule>
    <cfRule type="containsText" dxfId="85" priority="7" operator="containsText" text="others">
      <formula>NOT(ISERROR(SEARCH("others",G1)))</formula>
    </cfRule>
    <cfRule type="containsText" dxfId="84" priority="8" operator="containsText" text="female">
      <formula>NOT(ISERROR(SEARCH("female",G1)))</formula>
    </cfRule>
    <cfRule type="containsText" dxfId="83" priority="9" operator="containsText" text="male">
      <formula>NOT(ISERROR(SEARCH("male",G1)))</formula>
    </cfRule>
    <cfRule type="containsText" dxfId="82" priority="10" operator="containsText" text="unknown">
      <formula>NOT(ISERROR(SEARCH("unknown",G1)))</formula>
    </cfRule>
    <cfRule type="cellIs" dxfId="81" priority="11" operator="greaterThan">
      <formula>"unknown"</formula>
    </cfRule>
    <cfRule type="containsBlanks" dxfId="80" priority="15">
      <formula>LEN(TRIM(G1))=0</formula>
    </cfRule>
  </conditionalFormatting>
  <conditionalFormatting sqref="H1:H151 H357:H1048576">
    <cfRule type="containsText" dxfId="79" priority="1" operator="containsText" text="invalid_email">
      <formula>NOT(ISERROR(SEARCH("invalid_email",H1)))</formula>
    </cfRule>
    <cfRule type="containsText" dxfId="78" priority="2" operator="containsText" text="invalid_email">
      <formula>NOT(ISERROR(SEARCH("invalid_email",H1)))</formula>
    </cfRule>
    <cfRule type="containsBlanks" dxfId="77" priority="13">
      <formula>LEN(TRIM(H1))=0</formula>
    </cfRule>
    <cfRule type="containsBlanks" dxfId="76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5" priority="18">
      <formula>LEN(TRIM(B1))=0</formula>
    </cfRule>
    <cfRule type="containsBlanks" dxfId="74" priority="19">
      <formula>LEN(TRIM(B1))=0</formula>
    </cfRule>
    <cfRule type="timePeriod" dxfId="73" priority="23" timePeriod="yesterday">
      <formula>FLOOR(B1,1)=TODAY()-1</formula>
    </cfRule>
    <cfRule type="containsBlanks" dxfId="72" priority="24">
      <formula>LEN(TRIM(B1))=0</formula>
    </cfRule>
  </conditionalFormatting>
  <conditionalFormatting sqref="C1:C151 C357:C1048576">
    <cfRule type="containsBlanks" dxfId="71" priority="21">
      <formula>LEN(TRIM(C1))=0</formula>
    </cfRule>
    <cfRule type="containsBlanks" dxfId="70" priority="22">
      <formula>LEN(TRIM(C1))=0</formula>
    </cfRule>
  </conditionalFormatting>
  <conditionalFormatting sqref="D1:D151 D357:D1048576">
    <cfRule type="containsBlanks" dxfId="69" priority="20">
      <formula>LEN(TRIM(D1))=0</formula>
    </cfRule>
  </conditionalFormatting>
  <conditionalFormatting sqref="E1:E151 E357:E1048576">
    <cfRule type="containsText" dxfId="68" priority="12" operator="containsText" text="N/A">
      <formula>NOT(ISERROR(SEARCH("N/A",E1)))</formula>
    </cfRule>
    <cfRule type="containsBlanks" dxfId="67" priority="17">
      <formula>LEN(TRIM(E1))=0</formula>
    </cfRule>
  </conditionalFormatting>
  <conditionalFormatting sqref="F1:F151 F357:F1048576">
    <cfRule type="containsBlanks" dxfId="66" priority="16">
      <formula>LEN(TRIM(F1))=0</formula>
    </cfRule>
  </conditionalFormatting>
  <conditionalFormatting sqref="G1:G151 G357:G1048576">
    <cfRule type="containsText" dxfId="65" priority="3" operator="containsText" text="other">
      <formula>NOT(ISERROR(SEARCH("other",G1)))</formula>
    </cfRule>
    <cfRule type="containsText" dxfId="64" priority="4" operator="containsText" text="other">
      <formula>NOT(ISERROR(SEARCH("other",G1)))</formula>
    </cfRule>
    <cfRule type="containsText" dxfId="63" priority="5" operator="containsText" text="others">
      <formula>NOT(ISERROR(SEARCH("others",G1)))</formula>
    </cfRule>
    <cfRule type="containsText" dxfId="62" priority="6" operator="containsText" text="others">
      <formula>NOT(ISERROR(SEARCH("others",G1)))</formula>
    </cfRule>
    <cfRule type="containsText" dxfId="61" priority="7" operator="containsText" text="others">
      <formula>NOT(ISERROR(SEARCH("others",G1)))</formula>
    </cfRule>
    <cfRule type="containsText" dxfId="60" priority="8" operator="containsText" text="female">
      <formula>NOT(ISERROR(SEARCH("female",G1)))</formula>
    </cfRule>
    <cfRule type="containsText" dxfId="59" priority="9" operator="containsText" text="male">
      <formula>NOT(ISERROR(SEARCH("male",G1)))</formula>
    </cfRule>
    <cfRule type="containsText" dxfId="58" priority="10" operator="containsText" text="unknown">
      <formula>NOT(ISERROR(SEARCH("unknown",G1)))</formula>
    </cfRule>
    <cfRule type="cellIs" dxfId="57" priority="11" operator="greaterThan">
      <formula>"unknown"</formula>
    </cfRule>
    <cfRule type="containsBlanks" dxfId="56" priority="15">
      <formula>LEN(TRIM(G1))=0</formula>
    </cfRule>
  </conditionalFormatting>
  <conditionalFormatting sqref="H1:H151 H357:H1048576">
    <cfRule type="containsText" dxfId="55" priority="1" operator="containsText" text="invalid_email">
      <formula>NOT(ISERROR(SEARCH("invalid_email",H1)))</formula>
    </cfRule>
    <cfRule type="containsText" dxfId="54" priority="2" operator="containsText" text="invalid_email">
      <formula>NOT(ISERROR(SEARCH("invalid_email",H1)))</formula>
    </cfRule>
    <cfRule type="containsBlanks" dxfId="53" priority="13">
      <formula>LEN(TRIM(H1))=0</formula>
    </cfRule>
    <cfRule type="containsBlanks" dxfId="52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51" priority="18">
      <formula>LEN(TRIM(B1))=0</formula>
    </cfRule>
    <cfRule type="containsBlanks" dxfId="50" priority="19">
      <formula>LEN(TRIM(B1))=0</formula>
    </cfRule>
    <cfRule type="timePeriod" dxfId="49" priority="23" timePeriod="yesterday">
      <formula>FLOOR(B1,1)=TODAY()-1</formula>
    </cfRule>
    <cfRule type="containsBlanks" dxfId="48" priority="24">
      <formula>LEN(TRIM(B1))=0</formula>
    </cfRule>
  </conditionalFormatting>
  <conditionalFormatting sqref="C1:C151 C357:C1048576">
    <cfRule type="containsBlanks" dxfId="47" priority="21">
      <formula>LEN(TRIM(C1))=0</formula>
    </cfRule>
    <cfRule type="containsBlanks" dxfId="46" priority="22">
      <formula>LEN(TRIM(C1))=0</formula>
    </cfRule>
  </conditionalFormatting>
  <conditionalFormatting sqref="D1:D151 D357:D1048576">
    <cfRule type="containsBlanks" dxfId="45" priority="20">
      <formula>LEN(TRIM(D1))=0</formula>
    </cfRule>
  </conditionalFormatting>
  <conditionalFormatting sqref="E1:E151 E357:E1048576">
    <cfRule type="containsText" dxfId="44" priority="12" operator="containsText" text="N/A">
      <formula>NOT(ISERROR(SEARCH("N/A",E1)))</formula>
    </cfRule>
    <cfRule type="containsBlanks" dxfId="43" priority="17">
      <formula>LEN(TRIM(E1))=0</formula>
    </cfRule>
  </conditionalFormatting>
  <conditionalFormatting sqref="F1:F151 F357:F1048576">
    <cfRule type="containsBlanks" dxfId="42" priority="16">
      <formula>LEN(TRIM(F1))=0</formula>
    </cfRule>
  </conditionalFormatting>
  <conditionalFormatting sqref="G1:G151 G357:G1048576">
    <cfRule type="containsText" dxfId="41" priority="3" operator="containsText" text="other">
      <formula>NOT(ISERROR(SEARCH("other",G1)))</formula>
    </cfRule>
    <cfRule type="containsText" dxfId="40" priority="4" operator="containsText" text="other">
      <formula>NOT(ISERROR(SEARCH("other",G1)))</formula>
    </cfRule>
    <cfRule type="containsText" dxfId="39" priority="5" operator="containsText" text="others">
      <formula>NOT(ISERROR(SEARCH("others",G1)))</formula>
    </cfRule>
    <cfRule type="containsText" dxfId="38" priority="6" operator="containsText" text="others">
      <formula>NOT(ISERROR(SEARCH("others",G1)))</formula>
    </cfRule>
    <cfRule type="containsText" dxfId="37" priority="7" operator="containsText" text="others">
      <formula>NOT(ISERROR(SEARCH("others",G1)))</formula>
    </cfRule>
    <cfRule type="containsText" dxfId="36" priority="8" operator="containsText" text="female">
      <formula>NOT(ISERROR(SEARCH("female",G1)))</formula>
    </cfRule>
    <cfRule type="containsText" dxfId="35" priority="9" operator="containsText" text="male">
      <formula>NOT(ISERROR(SEARCH("male",G1)))</formula>
    </cfRule>
    <cfRule type="containsText" dxfId="34" priority="10" operator="containsText" text="unknown">
      <formula>NOT(ISERROR(SEARCH("unknown",G1)))</formula>
    </cfRule>
    <cfRule type="cellIs" dxfId="33" priority="11" operator="greaterThan">
      <formula>"unknown"</formula>
    </cfRule>
    <cfRule type="containsBlanks" dxfId="32" priority="15">
      <formula>LEN(TRIM(G1))=0</formula>
    </cfRule>
  </conditionalFormatting>
  <conditionalFormatting sqref="H1:H151 H357:H1048576">
    <cfRule type="containsText" dxfId="31" priority="1" operator="containsText" text="invalid_email">
      <formula>NOT(ISERROR(SEARCH("invalid_email",H1)))</formula>
    </cfRule>
    <cfRule type="containsText" dxfId="30" priority="2" operator="containsText" text="invalid_email">
      <formula>NOT(ISERROR(SEARCH("invalid_email",H1)))</formula>
    </cfRule>
    <cfRule type="containsBlanks" dxfId="29" priority="13">
      <formula>LEN(TRIM(H1))=0</formula>
    </cfRule>
    <cfRule type="containsBlanks" dxfId="28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7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6" priority="18">
      <formula>LEN(TRIM(B1))=0</formula>
    </cfRule>
    <cfRule type="containsBlanks" dxfId="25" priority="19">
      <formula>LEN(TRIM(B1))=0</formula>
    </cfRule>
    <cfRule type="timePeriod" dxfId="24" priority="23" timePeriod="yesterday">
      <formula>FLOOR(B1,1)=TODAY()-1</formula>
    </cfRule>
    <cfRule type="containsBlanks" dxfId="23" priority="24">
      <formula>LEN(TRIM(B1))=0</formula>
    </cfRule>
  </conditionalFormatting>
  <conditionalFormatting sqref="C1:C151 C357:C1048576">
    <cfRule type="containsBlanks" dxfId="22" priority="21">
      <formula>LEN(TRIM(C1))=0</formula>
    </cfRule>
    <cfRule type="containsBlanks" dxfId="21" priority="22">
      <formula>LEN(TRIM(C1))=0</formula>
    </cfRule>
  </conditionalFormatting>
  <conditionalFormatting sqref="D1:D151 D357:D1048576">
    <cfRule type="containsBlanks" dxfId="20" priority="20">
      <formula>LEN(TRIM(D1))=0</formula>
    </cfRule>
  </conditionalFormatting>
  <conditionalFormatting sqref="E1:E151 E357:E1048576">
    <cfRule type="containsText" dxfId="19" priority="12" operator="containsText" text="N/A">
      <formula>NOT(ISERROR(SEARCH("N/A",E1)))</formula>
    </cfRule>
    <cfRule type="containsBlanks" dxfId="18" priority="17">
      <formula>LEN(TRIM(E1))=0</formula>
    </cfRule>
  </conditionalFormatting>
  <conditionalFormatting sqref="F1:F151 F357:F1048576">
    <cfRule type="containsBlanks" dxfId="17" priority="16">
      <formula>LEN(TRIM(F1))=0</formula>
    </cfRule>
  </conditionalFormatting>
  <conditionalFormatting sqref="G1:G151 G357:G1048576">
    <cfRule type="containsText" dxfId="16" priority="3" operator="containsText" text="other">
      <formula>NOT(ISERROR(SEARCH("other",G1)))</formula>
    </cfRule>
    <cfRule type="containsText" dxfId="15" priority="4" operator="containsText" text="other">
      <formula>NOT(ISERROR(SEARCH("other",G1)))</formula>
    </cfRule>
    <cfRule type="containsText" dxfId="14" priority="5" operator="containsText" text="others">
      <formula>NOT(ISERROR(SEARCH("others",G1)))</formula>
    </cfRule>
    <cfRule type="containsText" dxfId="13" priority="6" operator="containsText" text="others">
      <formula>NOT(ISERROR(SEARCH("others",G1)))</formula>
    </cfRule>
    <cfRule type="containsText" dxfId="12" priority="7" operator="containsText" text="others">
      <formula>NOT(ISERROR(SEARCH("others",G1)))</formula>
    </cfRule>
    <cfRule type="containsText" dxfId="11" priority="8" operator="containsText" text="female">
      <formula>NOT(ISERROR(SEARCH("female",G1)))</formula>
    </cfRule>
    <cfRule type="containsText" dxfId="10" priority="9" operator="containsText" text="male">
      <formula>NOT(ISERROR(SEARCH("male",G1)))</formula>
    </cfRule>
    <cfRule type="containsText" dxfId="9" priority="10" operator="containsText" text="unknown">
      <formula>NOT(ISERROR(SEARCH("unknown",G1)))</formula>
    </cfRule>
    <cfRule type="cellIs" dxfId="8" priority="11" operator="greaterThan">
      <formula>"unknown"</formula>
    </cfRule>
    <cfRule type="containsBlanks" dxfId="7" priority="15">
      <formula>LEN(TRIM(G1))=0</formula>
    </cfRule>
  </conditionalFormatting>
  <conditionalFormatting sqref="H1:H151 H357:H1048576">
    <cfRule type="containsText" dxfId="6" priority="1" operator="containsText" text="invalid_email">
      <formula>NOT(ISERROR(SEARCH("invalid_email",H1)))</formula>
    </cfRule>
    <cfRule type="containsText" dxfId="5" priority="2" operator="containsText" text="invalid_email">
      <formula>NOT(ISERROR(SEARCH("invalid_email",H1)))</formula>
    </cfRule>
    <cfRule type="containsBlanks" dxfId="4" priority="13">
      <formula>LEN(TRIM(H1))=0</formula>
    </cfRule>
    <cfRule type="containsBlanks" dxfId="3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opLeftCell="F1" workbookViewId="0">
      <selection activeCell="J19" sqref="J19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1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" sqref="F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46040</v>
      </c>
    </row>
    <row r="3" spans="1:3" x14ac:dyDescent="0.35">
      <c r="A3" s="50" t="s">
        <v>395</v>
      </c>
      <c r="B3" s="50"/>
      <c r="C3" s="122">
        <f ca="1">NOW()</f>
        <v>46040.94879722222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0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A86"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I8" sqref="I8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10" max="10" width="20.08984375" bestFit="1" customWidth="1"/>
    <col min="11" max="11" width="20.54296875" bestFit="1" customWidth="1"/>
  </cols>
  <sheetData>
    <row r="1" spans="1:11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  <c r="J1" s="126" t="s">
        <v>404</v>
      </c>
    </row>
    <row r="2" spans="1:11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  <c r="I2" s="127" t="s">
        <v>40</v>
      </c>
      <c r="J2" s="128">
        <f>INDEX(Table1820[Performance Rating],MATCH("EMP1031",$A2:$A100,0))</f>
        <v>3</v>
      </c>
      <c r="K2" s="127" t="s">
        <v>405</v>
      </c>
    </row>
    <row r="3" spans="1:11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  <c r="I3" s="127" t="s">
        <v>152</v>
      </c>
      <c r="J3" s="128" t="str">
        <f>INDEX(Table1820[Gender],MATCH("EMP1143",$A2:$A100,0))</f>
        <v>Male</v>
      </c>
      <c r="K3" s="127" t="s">
        <v>406</v>
      </c>
    </row>
    <row r="4" spans="1:11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  <c r="I4" s="127" t="s">
        <v>17</v>
      </c>
      <c r="J4" s="128" t="str">
        <f>INDEX(C2:C100,MATCH("EMP1008",$A2:$A100,0))</f>
        <v>Germany</v>
      </c>
      <c r="K4" s="127" t="s">
        <v>407</v>
      </c>
    </row>
    <row r="5" spans="1:11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7" t="s">
        <v>42</v>
      </c>
      <c r="J5" s="127">
        <f>INDEX($D2:$D100,MATCH("EMP1033",$A2:$A100,0))</f>
        <v>95367</v>
      </c>
      <c r="K5" s="127" t="s">
        <v>408</v>
      </c>
    </row>
    <row r="6" spans="1:11" x14ac:dyDescent="0.35">
      <c r="A6" s="127" t="s">
        <v>17</v>
      </c>
      <c r="B6" s="127" t="str">
        <f>VLOOKUP(A6,Table1014161817[],2,0)</f>
        <v>Alice Brown</v>
      </c>
      <c r="C6" s="127" t="str">
        <f>VLOOKUP(A6,Table1014161817[],4,0)</f>
        <v>Germany</v>
      </c>
      <c r="D6" s="127">
        <f>VLOOKUP($A6,Table1014161817[],5,0)</f>
        <v>97881</v>
      </c>
      <c r="E6" s="127">
        <f>VLOOKUP($A6,Table1014161817[],6,0)</f>
        <v>97881</v>
      </c>
      <c r="F6" s="127" t="str">
        <f>VLOOKUP($A6,Table1014161817[],7,0)</f>
        <v>Female</v>
      </c>
      <c r="G6" s="128">
        <f>VLOOKUP($A6,Table1014161817[],9,0)</f>
        <v>3</v>
      </c>
    </row>
    <row r="7" spans="1:11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</row>
    <row r="8" spans="1:11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1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1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1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1" x14ac:dyDescent="0.35">
      <c r="A12" s="127" t="s">
        <v>42</v>
      </c>
      <c r="B12" s="127" t="str">
        <f>VLOOKUP(A12,Table1014161817[],2,0)</f>
        <v>Chris Lee</v>
      </c>
      <c r="C12" s="127" t="str">
        <f>VLOOKUP(A12,Table1014161817[],4,0)</f>
        <v>USA</v>
      </c>
      <c r="D12" s="127">
        <f>VLOOKUP($A12,Table1014161817[],5,0)</f>
        <v>95367</v>
      </c>
      <c r="E12" s="127">
        <f>VLOOKUP($A12,Table1014161817[],6,0)</f>
        <v>95367</v>
      </c>
      <c r="F12" s="127" t="str">
        <f>VLOOKUP($A12,Table1014161817[],7,0)</f>
        <v>Male</v>
      </c>
      <c r="G12" s="128">
        <f>VLOOKUP($A12,Table1014161817[],9,0)</f>
        <v>3</v>
      </c>
    </row>
    <row r="13" spans="1:11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1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1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1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s="127" t="s">
        <v>40</v>
      </c>
      <c r="B19" s="127" t="str">
        <f>VLOOKUP(A19,Table1014161817[],2,0)</f>
        <v>Eve Adams</v>
      </c>
      <c r="C19" s="127" t="str">
        <f>VLOOKUP(A19,Table1014161817[],4,0)</f>
        <v>Germany</v>
      </c>
      <c r="D19" s="127">
        <f>VLOOKUP($A19,Table1014161817[],5,0)</f>
        <v>92299</v>
      </c>
      <c r="E19" s="127">
        <f>VLOOKUP($A19,Table1014161817[],6,0)</f>
        <v>92299</v>
      </c>
      <c r="F19" s="127" t="str">
        <f>VLOOKUP($A19,Table1014161817[],7,0)</f>
        <v>Male</v>
      </c>
      <c r="G19" s="128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s="127" t="s">
        <v>152</v>
      </c>
      <c r="B22" s="127" t="str">
        <f>VLOOKUP(A22,Table1014161817[],2,0)</f>
        <v>Chris Lee</v>
      </c>
      <c r="C22" s="127" t="str">
        <f>VLOOKUP(A22,Table1014161817[],4,0)</f>
        <v>UK</v>
      </c>
      <c r="D22" s="127">
        <f>VLOOKUP($A22,Table1014161817[],5,0)</f>
        <v>91620</v>
      </c>
      <c r="E22" s="127">
        <f>VLOOKUP($A22,Table1014161817[],6,0)</f>
        <v>91620</v>
      </c>
      <c r="F22" s="127" t="str">
        <f>VLOOKUP($A22,Table1014161817[],7,0)</f>
        <v>Male</v>
      </c>
      <c r="G22" s="128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  <vt:lpstr>TASK14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2026-01-18T17:17:55Z</dcterms:modified>
</cp:coreProperties>
</file>