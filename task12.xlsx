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firstSheet="8" activeTab="14"/>
  </bookViews>
  <sheets>
    <sheet name="Sheet1" sheetId="1" r:id="rId1"/>
    <sheet name="TASK1" sheetId="2" r:id="rId2"/>
    <sheet name="TASK2" sheetId="4" r:id="rId3"/>
    <sheet name="TASK3" sheetId="5" r:id="rId4"/>
    <sheet name="TASK4" sheetId="6" r:id="rId5"/>
    <sheet name="TASK5" sheetId="7" r:id="rId6"/>
    <sheet name="TASK6" sheetId="8" r:id="rId7"/>
    <sheet name="TASK6 cleaning" sheetId="9" r:id="rId8"/>
    <sheet name="TASK6 Cleaned" sheetId="10" r:id="rId9"/>
    <sheet name="Sheet2" sheetId="11" r:id="rId10"/>
    <sheet name="TASK8" sheetId="12" r:id="rId11"/>
    <sheet name="TASK9" sheetId="13" r:id="rId12"/>
    <sheet name="TASK10" sheetId="14" r:id="rId13"/>
    <sheet name="TASK11" sheetId="16" r:id="rId14"/>
    <sheet name="TASK12" sheetId="17" r:id="rId15"/>
    <sheet name="TASK13_P" sheetId="18" r:id="rId16"/>
    <sheet name="TASK13" sheetId="19" r:id="rId17"/>
  </sheets>
  <definedNames>
    <definedName name="ExternalData_1" localSheetId="9" hidden="1">Sheet2!$A$1:$I$100</definedName>
  </definedNames>
  <calcPr calcId="162913"/>
</workbook>
</file>

<file path=xl/calcChain.xml><?xml version="1.0" encoding="utf-8"?>
<calcChain xmlns="http://schemas.openxmlformats.org/spreadsheetml/2006/main">
  <c r="C3" i="19" l="1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C77" i="19"/>
  <c r="D77" i="19"/>
  <c r="E77" i="19"/>
  <c r="F77" i="19"/>
  <c r="G77" i="19"/>
  <c r="C78" i="19"/>
  <c r="D78" i="19"/>
  <c r="E78" i="19"/>
  <c r="F78" i="19"/>
  <c r="G78" i="19"/>
  <c r="C79" i="19"/>
  <c r="D79" i="19"/>
  <c r="E79" i="19"/>
  <c r="F79" i="19"/>
  <c r="G79" i="19"/>
  <c r="C80" i="19"/>
  <c r="D80" i="19"/>
  <c r="E80" i="19"/>
  <c r="F80" i="19"/>
  <c r="G80" i="19"/>
  <c r="C81" i="19"/>
  <c r="D81" i="19"/>
  <c r="E81" i="19"/>
  <c r="F81" i="19"/>
  <c r="G81" i="19"/>
  <c r="C82" i="19"/>
  <c r="D82" i="19"/>
  <c r="E82" i="19"/>
  <c r="F82" i="19"/>
  <c r="G82" i="19"/>
  <c r="C83" i="19"/>
  <c r="D83" i="19"/>
  <c r="E83" i="19"/>
  <c r="F83" i="19"/>
  <c r="G83" i="19"/>
  <c r="C84" i="19"/>
  <c r="D84" i="19"/>
  <c r="E84" i="19"/>
  <c r="F84" i="19"/>
  <c r="G84" i="19"/>
  <c r="C85" i="19"/>
  <c r="D85" i="19"/>
  <c r="E85" i="19"/>
  <c r="F85" i="19"/>
  <c r="G85" i="19"/>
  <c r="C86" i="19"/>
  <c r="D86" i="19"/>
  <c r="E86" i="19"/>
  <c r="F86" i="19"/>
  <c r="G86" i="19"/>
  <c r="C87" i="19"/>
  <c r="D87" i="19"/>
  <c r="E87" i="19"/>
  <c r="F87" i="19"/>
  <c r="G87" i="19"/>
  <c r="C88" i="19"/>
  <c r="D88" i="19"/>
  <c r="E88" i="19"/>
  <c r="F88" i="19"/>
  <c r="G88" i="19"/>
  <c r="C89" i="19"/>
  <c r="D89" i="19"/>
  <c r="E89" i="19"/>
  <c r="F89" i="19"/>
  <c r="G89" i="19"/>
  <c r="C90" i="19"/>
  <c r="D90" i="19"/>
  <c r="E90" i="19"/>
  <c r="F90" i="19"/>
  <c r="G90" i="19"/>
  <c r="C91" i="19"/>
  <c r="D91" i="19"/>
  <c r="E91" i="19"/>
  <c r="F91" i="19"/>
  <c r="G91" i="19"/>
  <c r="C92" i="19"/>
  <c r="D92" i="19"/>
  <c r="E92" i="19"/>
  <c r="F92" i="19"/>
  <c r="G92" i="19"/>
  <c r="C93" i="19"/>
  <c r="D93" i="19"/>
  <c r="E93" i="19"/>
  <c r="F93" i="19"/>
  <c r="G93" i="19"/>
  <c r="C94" i="19"/>
  <c r="D94" i="19"/>
  <c r="E94" i="19"/>
  <c r="F94" i="19"/>
  <c r="G94" i="19"/>
  <c r="C95" i="19"/>
  <c r="D95" i="19"/>
  <c r="E95" i="19"/>
  <c r="F95" i="19"/>
  <c r="G95" i="19"/>
  <c r="C96" i="19"/>
  <c r="D96" i="19"/>
  <c r="E96" i="19"/>
  <c r="F96" i="19"/>
  <c r="G96" i="19"/>
  <c r="C97" i="19"/>
  <c r="D97" i="19"/>
  <c r="E97" i="19"/>
  <c r="F97" i="19"/>
  <c r="G97" i="19"/>
  <c r="C98" i="19"/>
  <c r="D98" i="19"/>
  <c r="E98" i="19"/>
  <c r="F98" i="19"/>
  <c r="G98" i="19"/>
  <c r="C99" i="19"/>
  <c r="D99" i="19"/>
  <c r="E99" i="19"/>
  <c r="F99" i="19"/>
  <c r="G99" i="19"/>
  <c r="C100" i="19"/>
  <c r="D100" i="19"/>
  <c r="E100" i="19"/>
  <c r="F100" i="19"/>
  <c r="G100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3" i="19"/>
  <c r="B4" i="19"/>
  <c r="B5" i="19"/>
  <c r="B6" i="19"/>
  <c r="B7" i="19"/>
  <c r="B8" i="19"/>
  <c r="B9" i="19"/>
  <c r="B10" i="19"/>
  <c r="B11" i="19"/>
  <c r="B12" i="19"/>
  <c r="B13" i="19"/>
  <c r="C2" i="19"/>
  <c r="B2" i="19"/>
  <c r="F2" i="19"/>
  <c r="E2" i="19"/>
  <c r="D2" i="19"/>
  <c r="G2" i="19"/>
  <c r="C6" i="17" l="1"/>
  <c r="C5" i="17"/>
  <c r="C4" i="17"/>
  <c r="C3" i="17"/>
  <c r="C2" i="17"/>
  <c r="E136" i="13" l="1"/>
  <c r="E1048574" i="13" s="1"/>
  <c r="L2" i="12" l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M2" i="9" l="1"/>
  <c r="K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80" i="9"/>
  <c r="O81" i="9"/>
  <c r="O82" i="9"/>
  <c r="O83" i="9"/>
  <c r="O84" i="9"/>
  <c r="O85" i="9"/>
  <c r="O86" i="9"/>
  <c r="O87" i="9"/>
  <c r="O89" i="9"/>
  <c r="O90" i="9"/>
  <c r="O91" i="9"/>
  <c r="O92" i="9"/>
  <c r="O93" i="9"/>
  <c r="O94" i="9"/>
  <c r="O95" i="9"/>
  <c r="O96" i="9"/>
  <c r="O97" i="9"/>
  <c r="O98" i="9"/>
  <c r="O99" i="9"/>
  <c r="O100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O53" i="9" l="1"/>
  <c r="O20" i="9"/>
  <c r="O2" i="9"/>
  <c r="O88" i="9"/>
  <c r="O39" i="9"/>
  <c r="O79" i="9"/>
  <c r="N151" i="7"/>
  <c r="M151" i="7"/>
  <c r="L151" i="7"/>
  <c r="K151" i="7"/>
  <c r="J151" i="7"/>
  <c r="I151" i="7"/>
  <c r="N150" i="7"/>
  <c r="M150" i="7"/>
  <c r="L150" i="7"/>
  <c r="K150" i="7"/>
  <c r="J150" i="7"/>
  <c r="I150" i="7"/>
  <c r="N149" i="7"/>
  <c r="M149" i="7"/>
  <c r="L149" i="7"/>
  <c r="K149" i="7"/>
  <c r="J149" i="7"/>
  <c r="I149" i="7"/>
  <c r="N148" i="7"/>
  <c r="M148" i="7"/>
  <c r="L148" i="7"/>
  <c r="K148" i="7"/>
  <c r="J148" i="7"/>
  <c r="I148" i="7"/>
  <c r="N147" i="7"/>
  <c r="M147" i="7"/>
  <c r="L147" i="7"/>
  <c r="K147" i="7"/>
  <c r="J147" i="7"/>
  <c r="I147" i="7"/>
  <c r="N146" i="7"/>
  <c r="M146" i="7"/>
  <c r="L146" i="7"/>
  <c r="K146" i="7"/>
  <c r="J146" i="7"/>
  <c r="I146" i="7"/>
  <c r="N145" i="7"/>
  <c r="M145" i="7"/>
  <c r="L145" i="7"/>
  <c r="K145" i="7"/>
  <c r="J145" i="7"/>
  <c r="I145" i="7"/>
  <c r="N144" i="7"/>
  <c r="M144" i="7"/>
  <c r="L144" i="7"/>
  <c r="K144" i="7"/>
  <c r="J144" i="7"/>
  <c r="I144" i="7"/>
  <c r="N143" i="7"/>
  <c r="M143" i="7"/>
  <c r="L143" i="7"/>
  <c r="K143" i="7"/>
  <c r="J143" i="7"/>
  <c r="I143" i="7"/>
  <c r="N142" i="7"/>
  <c r="M142" i="7"/>
  <c r="L142" i="7"/>
  <c r="K142" i="7"/>
  <c r="J142" i="7"/>
  <c r="I142" i="7"/>
  <c r="N141" i="7"/>
  <c r="M141" i="7"/>
  <c r="L141" i="7"/>
  <c r="K141" i="7"/>
  <c r="J141" i="7"/>
  <c r="I141" i="7"/>
  <c r="N140" i="7"/>
  <c r="M140" i="7"/>
  <c r="L140" i="7"/>
  <c r="K140" i="7"/>
  <c r="J140" i="7"/>
  <c r="I140" i="7"/>
  <c r="N139" i="7"/>
  <c r="M139" i="7"/>
  <c r="L139" i="7"/>
  <c r="K139" i="7"/>
  <c r="J139" i="7"/>
  <c r="I139" i="7"/>
  <c r="N138" i="7"/>
  <c r="M138" i="7"/>
  <c r="L138" i="7"/>
  <c r="K138" i="7"/>
  <c r="J138" i="7"/>
  <c r="I138" i="7"/>
  <c r="N137" i="7"/>
  <c r="M137" i="7"/>
  <c r="L137" i="7"/>
  <c r="K137" i="7"/>
  <c r="J137" i="7"/>
  <c r="I137" i="7"/>
  <c r="N136" i="7"/>
  <c r="M136" i="7"/>
  <c r="L136" i="7"/>
  <c r="K136" i="7"/>
  <c r="J136" i="7"/>
  <c r="I136" i="7"/>
  <c r="E136" i="7"/>
  <c r="E1048574" i="7" s="1"/>
  <c r="N135" i="7"/>
  <c r="M135" i="7"/>
  <c r="L135" i="7"/>
  <c r="K135" i="7"/>
  <c r="J135" i="7"/>
  <c r="I135" i="7"/>
  <c r="N134" i="7"/>
  <c r="M134" i="7"/>
  <c r="L134" i="7"/>
  <c r="K134" i="7"/>
  <c r="J134" i="7"/>
  <c r="I134" i="7"/>
  <c r="N133" i="7"/>
  <c r="M133" i="7"/>
  <c r="L133" i="7"/>
  <c r="K133" i="7"/>
  <c r="J133" i="7"/>
  <c r="I133" i="7"/>
  <c r="N132" i="7"/>
  <c r="M132" i="7"/>
  <c r="L132" i="7"/>
  <c r="K132" i="7"/>
  <c r="J132" i="7"/>
  <c r="I132" i="7"/>
  <c r="N131" i="7"/>
  <c r="M131" i="7"/>
  <c r="L131" i="7"/>
  <c r="K131" i="7"/>
  <c r="J131" i="7"/>
  <c r="I131" i="7"/>
  <c r="N130" i="7"/>
  <c r="M130" i="7"/>
  <c r="L130" i="7"/>
  <c r="K130" i="7"/>
  <c r="J130" i="7"/>
  <c r="I130" i="7"/>
  <c r="N129" i="7"/>
  <c r="M129" i="7"/>
  <c r="L129" i="7"/>
  <c r="K129" i="7"/>
  <c r="J129" i="7"/>
  <c r="I129" i="7"/>
  <c r="N128" i="7"/>
  <c r="M128" i="7"/>
  <c r="L128" i="7"/>
  <c r="K128" i="7"/>
  <c r="J128" i="7"/>
  <c r="I128" i="7"/>
  <c r="N127" i="7"/>
  <c r="M127" i="7"/>
  <c r="L127" i="7"/>
  <c r="K127" i="7"/>
  <c r="J127" i="7"/>
  <c r="I127" i="7"/>
  <c r="N126" i="7"/>
  <c r="M126" i="7"/>
  <c r="L126" i="7"/>
  <c r="K126" i="7"/>
  <c r="J126" i="7"/>
  <c r="I126" i="7"/>
  <c r="N125" i="7"/>
  <c r="M125" i="7"/>
  <c r="L125" i="7"/>
  <c r="K125" i="7"/>
  <c r="J125" i="7"/>
  <c r="I125" i="7"/>
  <c r="N124" i="7"/>
  <c r="M124" i="7"/>
  <c r="L124" i="7"/>
  <c r="K124" i="7"/>
  <c r="J124" i="7"/>
  <c r="I124" i="7"/>
  <c r="N123" i="7"/>
  <c r="M123" i="7"/>
  <c r="L123" i="7"/>
  <c r="K123" i="7"/>
  <c r="J123" i="7"/>
  <c r="I123" i="7"/>
  <c r="N122" i="7"/>
  <c r="M122" i="7"/>
  <c r="L122" i="7"/>
  <c r="K122" i="7"/>
  <c r="J122" i="7"/>
  <c r="I122" i="7"/>
  <c r="N121" i="7"/>
  <c r="M121" i="7"/>
  <c r="L121" i="7"/>
  <c r="K121" i="7"/>
  <c r="J121" i="7"/>
  <c r="I121" i="7"/>
  <c r="N120" i="7"/>
  <c r="M120" i="7"/>
  <c r="L120" i="7"/>
  <c r="K120" i="7"/>
  <c r="J120" i="7"/>
  <c r="I120" i="7"/>
  <c r="N119" i="7"/>
  <c r="M119" i="7"/>
  <c r="L119" i="7"/>
  <c r="K119" i="7"/>
  <c r="J119" i="7"/>
  <c r="I119" i="7"/>
  <c r="N118" i="7"/>
  <c r="M118" i="7"/>
  <c r="L118" i="7"/>
  <c r="K118" i="7"/>
  <c r="J118" i="7"/>
  <c r="I118" i="7"/>
  <c r="N117" i="7"/>
  <c r="M117" i="7"/>
  <c r="L117" i="7"/>
  <c r="K117" i="7"/>
  <c r="J117" i="7"/>
  <c r="I117" i="7"/>
  <c r="N116" i="7"/>
  <c r="M116" i="7"/>
  <c r="L116" i="7"/>
  <c r="K116" i="7"/>
  <c r="J116" i="7"/>
  <c r="I116" i="7"/>
  <c r="N115" i="7"/>
  <c r="M115" i="7"/>
  <c r="L115" i="7"/>
  <c r="K115" i="7"/>
  <c r="J115" i="7"/>
  <c r="I115" i="7"/>
  <c r="N114" i="7"/>
  <c r="M114" i="7"/>
  <c r="L114" i="7"/>
  <c r="K114" i="7"/>
  <c r="J114" i="7"/>
  <c r="I114" i="7"/>
  <c r="N113" i="7"/>
  <c r="M113" i="7"/>
  <c r="L113" i="7"/>
  <c r="K113" i="7"/>
  <c r="J113" i="7"/>
  <c r="I113" i="7"/>
  <c r="N112" i="7"/>
  <c r="M112" i="7"/>
  <c r="L112" i="7"/>
  <c r="K112" i="7"/>
  <c r="J112" i="7"/>
  <c r="I112" i="7"/>
  <c r="N111" i="7"/>
  <c r="M111" i="7"/>
  <c r="L111" i="7"/>
  <c r="K111" i="7"/>
  <c r="J111" i="7"/>
  <c r="I111" i="7"/>
  <c r="N110" i="7"/>
  <c r="M110" i="7"/>
  <c r="L110" i="7"/>
  <c r="K110" i="7"/>
  <c r="J110" i="7"/>
  <c r="I110" i="7"/>
  <c r="N109" i="7"/>
  <c r="M109" i="7"/>
  <c r="L109" i="7"/>
  <c r="K109" i="7"/>
  <c r="J109" i="7"/>
  <c r="I109" i="7"/>
  <c r="N108" i="7"/>
  <c r="M108" i="7"/>
  <c r="L108" i="7"/>
  <c r="K108" i="7"/>
  <c r="J108" i="7"/>
  <c r="I108" i="7"/>
  <c r="N107" i="7"/>
  <c r="M107" i="7"/>
  <c r="L107" i="7"/>
  <c r="K107" i="7"/>
  <c r="J107" i="7"/>
  <c r="I107" i="7"/>
  <c r="N106" i="7"/>
  <c r="M106" i="7"/>
  <c r="L106" i="7"/>
  <c r="K106" i="7"/>
  <c r="J106" i="7"/>
  <c r="I106" i="7"/>
  <c r="N105" i="7"/>
  <c r="M105" i="7"/>
  <c r="L105" i="7"/>
  <c r="K105" i="7"/>
  <c r="J105" i="7"/>
  <c r="I105" i="7"/>
  <c r="N104" i="7"/>
  <c r="M104" i="7"/>
  <c r="L104" i="7"/>
  <c r="K104" i="7"/>
  <c r="J104" i="7"/>
  <c r="I104" i="7"/>
  <c r="N103" i="7"/>
  <c r="M103" i="7"/>
  <c r="L103" i="7"/>
  <c r="K103" i="7"/>
  <c r="J103" i="7"/>
  <c r="I103" i="7"/>
  <c r="N102" i="7"/>
  <c r="M102" i="7"/>
  <c r="L102" i="7"/>
  <c r="K102" i="7"/>
  <c r="J102" i="7"/>
  <c r="I102" i="7"/>
  <c r="N101" i="7"/>
  <c r="M101" i="7"/>
  <c r="L101" i="7"/>
  <c r="K101" i="7"/>
  <c r="J101" i="7"/>
  <c r="I101" i="7"/>
  <c r="N100" i="7"/>
  <c r="M100" i="7"/>
  <c r="L100" i="7"/>
  <c r="K100" i="7"/>
  <c r="J100" i="7"/>
  <c r="I100" i="7"/>
  <c r="N99" i="7"/>
  <c r="M99" i="7"/>
  <c r="L99" i="7"/>
  <c r="K99" i="7"/>
  <c r="J99" i="7"/>
  <c r="I99" i="7"/>
  <c r="N98" i="7"/>
  <c r="M98" i="7"/>
  <c r="L98" i="7"/>
  <c r="K98" i="7"/>
  <c r="J98" i="7"/>
  <c r="I98" i="7"/>
  <c r="N97" i="7"/>
  <c r="M97" i="7"/>
  <c r="L97" i="7"/>
  <c r="K97" i="7"/>
  <c r="J97" i="7"/>
  <c r="I97" i="7"/>
  <c r="N96" i="7"/>
  <c r="M96" i="7"/>
  <c r="L96" i="7"/>
  <c r="K96" i="7"/>
  <c r="J96" i="7"/>
  <c r="I96" i="7"/>
  <c r="N95" i="7"/>
  <c r="M95" i="7"/>
  <c r="L95" i="7"/>
  <c r="K95" i="7"/>
  <c r="J95" i="7"/>
  <c r="I95" i="7"/>
  <c r="N94" i="7"/>
  <c r="M94" i="7"/>
  <c r="L94" i="7"/>
  <c r="K94" i="7"/>
  <c r="J94" i="7"/>
  <c r="I94" i="7"/>
  <c r="N93" i="7"/>
  <c r="M93" i="7"/>
  <c r="L93" i="7"/>
  <c r="K93" i="7"/>
  <c r="J93" i="7"/>
  <c r="I93" i="7"/>
  <c r="N92" i="7"/>
  <c r="M92" i="7"/>
  <c r="L92" i="7"/>
  <c r="K92" i="7"/>
  <c r="J92" i="7"/>
  <c r="I92" i="7"/>
  <c r="N91" i="7"/>
  <c r="M91" i="7"/>
  <c r="L91" i="7"/>
  <c r="K91" i="7"/>
  <c r="J91" i="7"/>
  <c r="I91" i="7"/>
  <c r="N90" i="7"/>
  <c r="M90" i="7"/>
  <c r="L90" i="7"/>
  <c r="K90" i="7"/>
  <c r="J90" i="7"/>
  <c r="I90" i="7"/>
  <c r="N89" i="7"/>
  <c r="M89" i="7"/>
  <c r="L89" i="7"/>
  <c r="K89" i="7"/>
  <c r="J89" i="7"/>
  <c r="I89" i="7"/>
  <c r="N88" i="7"/>
  <c r="M88" i="7"/>
  <c r="L88" i="7"/>
  <c r="K88" i="7"/>
  <c r="J88" i="7"/>
  <c r="I88" i="7"/>
  <c r="N87" i="7"/>
  <c r="M87" i="7"/>
  <c r="L87" i="7"/>
  <c r="K87" i="7"/>
  <c r="J87" i="7"/>
  <c r="I87" i="7"/>
  <c r="N86" i="7"/>
  <c r="M86" i="7"/>
  <c r="L86" i="7"/>
  <c r="K86" i="7"/>
  <c r="J86" i="7"/>
  <c r="I86" i="7"/>
  <c r="N85" i="7"/>
  <c r="M85" i="7"/>
  <c r="L85" i="7"/>
  <c r="K85" i="7"/>
  <c r="J85" i="7"/>
  <c r="I85" i="7"/>
  <c r="N84" i="7"/>
  <c r="M84" i="7"/>
  <c r="L84" i="7"/>
  <c r="K84" i="7"/>
  <c r="J84" i="7"/>
  <c r="I84" i="7"/>
  <c r="N83" i="7"/>
  <c r="M83" i="7"/>
  <c r="L83" i="7"/>
  <c r="K83" i="7"/>
  <c r="J83" i="7"/>
  <c r="I83" i="7"/>
  <c r="N82" i="7"/>
  <c r="M82" i="7"/>
  <c r="L82" i="7"/>
  <c r="K82" i="7"/>
  <c r="J82" i="7"/>
  <c r="I82" i="7"/>
  <c r="N81" i="7"/>
  <c r="M81" i="7"/>
  <c r="L81" i="7"/>
  <c r="K81" i="7"/>
  <c r="J81" i="7"/>
  <c r="I81" i="7"/>
  <c r="N80" i="7"/>
  <c r="M80" i="7"/>
  <c r="L80" i="7"/>
  <c r="K80" i="7"/>
  <c r="J80" i="7"/>
  <c r="I80" i="7"/>
  <c r="N79" i="7"/>
  <c r="M79" i="7"/>
  <c r="L79" i="7"/>
  <c r="K79" i="7"/>
  <c r="J79" i="7"/>
  <c r="I79" i="7"/>
  <c r="N78" i="7"/>
  <c r="M78" i="7"/>
  <c r="L78" i="7"/>
  <c r="K78" i="7"/>
  <c r="J78" i="7"/>
  <c r="I78" i="7"/>
  <c r="N77" i="7"/>
  <c r="M77" i="7"/>
  <c r="L77" i="7"/>
  <c r="K77" i="7"/>
  <c r="J77" i="7"/>
  <c r="I77" i="7"/>
  <c r="N76" i="7"/>
  <c r="M76" i="7"/>
  <c r="L76" i="7"/>
  <c r="K76" i="7"/>
  <c r="J76" i="7"/>
  <c r="I76" i="7"/>
  <c r="N75" i="7"/>
  <c r="M75" i="7"/>
  <c r="L75" i="7"/>
  <c r="K75" i="7"/>
  <c r="J75" i="7"/>
  <c r="I75" i="7"/>
  <c r="N74" i="7"/>
  <c r="M74" i="7"/>
  <c r="L74" i="7"/>
  <c r="K74" i="7"/>
  <c r="J74" i="7"/>
  <c r="I74" i="7"/>
  <c r="N73" i="7"/>
  <c r="M73" i="7"/>
  <c r="L73" i="7"/>
  <c r="K73" i="7"/>
  <c r="J73" i="7"/>
  <c r="I73" i="7"/>
  <c r="N72" i="7"/>
  <c r="M72" i="7"/>
  <c r="L72" i="7"/>
  <c r="K72" i="7"/>
  <c r="J72" i="7"/>
  <c r="I72" i="7"/>
  <c r="N71" i="7"/>
  <c r="M71" i="7"/>
  <c r="L71" i="7"/>
  <c r="K71" i="7"/>
  <c r="J71" i="7"/>
  <c r="I71" i="7"/>
  <c r="N70" i="7"/>
  <c r="M70" i="7"/>
  <c r="L70" i="7"/>
  <c r="K70" i="7"/>
  <c r="J70" i="7"/>
  <c r="I70" i="7"/>
  <c r="N69" i="7"/>
  <c r="M69" i="7"/>
  <c r="L69" i="7"/>
  <c r="K69" i="7"/>
  <c r="J69" i="7"/>
  <c r="I69" i="7"/>
  <c r="N68" i="7"/>
  <c r="M68" i="7"/>
  <c r="L68" i="7"/>
  <c r="K68" i="7"/>
  <c r="J68" i="7"/>
  <c r="I68" i="7"/>
  <c r="N67" i="7"/>
  <c r="M67" i="7"/>
  <c r="L67" i="7"/>
  <c r="K67" i="7"/>
  <c r="J67" i="7"/>
  <c r="I67" i="7"/>
  <c r="N66" i="7"/>
  <c r="M66" i="7"/>
  <c r="L66" i="7"/>
  <c r="K66" i="7"/>
  <c r="J66" i="7"/>
  <c r="I66" i="7"/>
  <c r="N65" i="7"/>
  <c r="M65" i="7"/>
  <c r="L65" i="7"/>
  <c r="K65" i="7"/>
  <c r="J65" i="7"/>
  <c r="I65" i="7"/>
  <c r="N64" i="7"/>
  <c r="M64" i="7"/>
  <c r="L64" i="7"/>
  <c r="K64" i="7"/>
  <c r="J64" i="7"/>
  <c r="I64" i="7"/>
  <c r="N63" i="7"/>
  <c r="M63" i="7"/>
  <c r="L63" i="7"/>
  <c r="K63" i="7"/>
  <c r="J63" i="7"/>
  <c r="I63" i="7"/>
  <c r="N62" i="7"/>
  <c r="M62" i="7"/>
  <c r="L62" i="7"/>
  <c r="K62" i="7"/>
  <c r="J62" i="7"/>
  <c r="I62" i="7"/>
  <c r="N61" i="7"/>
  <c r="M61" i="7"/>
  <c r="L61" i="7"/>
  <c r="K61" i="7"/>
  <c r="J61" i="7"/>
  <c r="I61" i="7"/>
  <c r="N60" i="7"/>
  <c r="M60" i="7"/>
  <c r="L60" i="7"/>
  <c r="K60" i="7"/>
  <c r="J60" i="7"/>
  <c r="I60" i="7"/>
  <c r="N59" i="7"/>
  <c r="M59" i="7"/>
  <c r="L59" i="7"/>
  <c r="K59" i="7"/>
  <c r="J59" i="7"/>
  <c r="I59" i="7"/>
  <c r="N58" i="7"/>
  <c r="M58" i="7"/>
  <c r="L58" i="7"/>
  <c r="K58" i="7"/>
  <c r="J58" i="7"/>
  <c r="I58" i="7"/>
  <c r="N57" i="7"/>
  <c r="M57" i="7"/>
  <c r="L57" i="7"/>
  <c r="K57" i="7"/>
  <c r="J57" i="7"/>
  <c r="I57" i="7"/>
  <c r="N56" i="7"/>
  <c r="M56" i="7"/>
  <c r="L56" i="7"/>
  <c r="K56" i="7"/>
  <c r="J56" i="7"/>
  <c r="I56" i="7"/>
  <c r="N55" i="7"/>
  <c r="M55" i="7"/>
  <c r="L55" i="7"/>
  <c r="K55" i="7"/>
  <c r="J55" i="7"/>
  <c r="I55" i="7"/>
  <c r="N54" i="7"/>
  <c r="M54" i="7"/>
  <c r="L54" i="7"/>
  <c r="K54" i="7"/>
  <c r="J54" i="7"/>
  <c r="I54" i="7"/>
  <c r="N53" i="7"/>
  <c r="M53" i="7"/>
  <c r="L53" i="7"/>
  <c r="K53" i="7"/>
  <c r="J53" i="7"/>
  <c r="I53" i="7"/>
  <c r="N52" i="7"/>
  <c r="M52" i="7"/>
  <c r="L52" i="7"/>
  <c r="K52" i="7"/>
  <c r="J52" i="7"/>
  <c r="I52" i="7"/>
  <c r="N51" i="7"/>
  <c r="M51" i="7"/>
  <c r="L51" i="7"/>
  <c r="K51" i="7"/>
  <c r="J51" i="7"/>
  <c r="I51" i="7"/>
  <c r="N50" i="7"/>
  <c r="M50" i="7"/>
  <c r="L50" i="7"/>
  <c r="K50" i="7"/>
  <c r="J50" i="7"/>
  <c r="I50" i="7"/>
  <c r="N49" i="7"/>
  <c r="M49" i="7"/>
  <c r="L49" i="7"/>
  <c r="K49" i="7"/>
  <c r="J49" i="7"/>
  <c r="I49" i="7"/>
  <c r="N48" i="7"/>
  <c r="M48" i="7"/>
  <c r="L48" i="7"/>
  <c r="K48" i="7"/>
  <c r="J48" i="7"/>
  <c r="I48" i="7"/>
  <c r="N47" i="7"/>
  <c r="M47" i="7"/>
  <c r="L47" i="7"/>
  <c r="K47" i="7"/>
  <c r="J47" i="7"/>
  <c r="I47" i="7"/>
  <c r="N46" i="7"/>
  <c r="M46" i="7"/>
  <c r="L46" i="7"/>
  <c r="K46" i="7"/>
  <c r="J46" i="7"/>
  <c r="I46" i="7"/>
  <c r="N45" i="7"/>
  <c r="M45" i="7"/>
  <c r="L45" i="7"/>
  <c r="K45" i="7"/>
  <c r="J45" i="7"/>
  <c r="I45" i="7"/>
  <c r="N44" i="7"/>
  <c r="M44" i="7"/>
  <c r="L44" i="7"/>
  <c r="K44" i="7"/>
  <c r="J44" i="7"/>
  <c r="I44" i="7"/>
  <c r="N43" i="7"/>
  <c r="M43" i="7"/>
  <c r="L43" i="7"/>
  <c r="K43" i="7"/>
  <c r="J43" i="7"/>
  <c r="I43" i="7"/>
  <c r="N42" i="7"/>
  <c r="M42" i="7"/>
  <c r="L42" i="7"/>
  <c r="K42" i="7"/>
  <c r="J42" i="7"/>
  <c r="I42" i="7"/>
  <c r="N41" i="7"/>
  <c r="M41" i="7"/>
  <c r="L41" i="7"/>
  <c r="K41" i="7"/>
  <c r="J41" i="7"/>
  <c r="I41" i="7"/>
  <c r="N40" i="7"/>
  <c r="M40" i="7"/>
  <c r="L40" i="7"/>
  <c r="K40" i="7"/>
  <c r="J40" i="7"/>
  <c r="I40" i="7"/>
  <c r="N39" i="7"/>
  <c r="M39" i="7"/>
  <c r="L39" i="7"/>
  <c r="K39" i="7"/>
  <c r="J39" i="7"/>
  <c r="I39" i="7"/>
  <c r="N38" i="7"/>
  <c r="M38" i="7"/>
  <c r="L38" i="7"/>
  <c r="K38" i="7"/>
  <c r="J38" i="7"/>
  <c r="I38" i="7"/>
  <c r="N37" i="7"/>
  <c r="M37" i="7"/>
  <c r="L37" i="7"/>
  <c r="K37" i="7"/>
  <c r="J37" i="7"/>
  <c r="I37" i="7"/>
  <c r="N36" i="7"/>
  <c r="M36" i="7"/>
  <c r="L36" i="7"/>
  <c r="K36" i="7"/>
  <c r="J36" i="7"/>
  <c r="I36" i="7"/>
  <c r="N35" i="7"/>
  <c r="M35" i="7"/>
  <c r="L35" i="7"/>
  <c r="K35" i="7"/>
  <c r="J35" i="7"/>
  <c r="I35" i="7"/>
  <c r="N34" i="7"/>
  <c r="M34" i="7"/>
  <c r="L34" i="7"/>
  <c r="K34" i="7"/>
  <c r="J34" i="7"/>
  <c r="I34" i="7"/>
  <c r="N33" i="7"/>
  <c r="M33" i="7"/>
  <c r="L33" i="7"/>
  <c r="K33" i="7"/>
  <c r="J33" i="7"/>
  <c r="I33" i="7"/>
  <c r="N32" i="7"/>
  <c r="M32" i="7"/>
  <c r="L32" i="7"/>
  <c r="K32" i="7"/>
  <c r="J32" i="7"/>
  <c r="I32" i="7"/>
  <c r="N31" i="7"/>
  <c r="M31" i="7"/>
  <c r="L31" i="7"/>
  <c r="K31" i="7"/>
  <c r="J31" i="7"/>
  <c r="I31" i="7"/>
  <c r="N30" i="7"/>
  <c r="M30" i="7"/>
  <c r="L30" i="7"/>
  <c r="K30" i="7"/>
  <c r="J30" i="7"/>
  <c r="I30" i="7"/>
  <c r="N29" i="7"/>
  <c r="M29" i="7"/>
  <c r="L29" i="7"/>
  <c r="K29" i="7"/>
  <c r="J29" i="7"/>
  <c r="I29" i="7"/>
  <c r="N28" i="7"/>
  <c r="M28" i="7"/>
  <c r="L28" i="7"/>
  <c r="K28" i="7"/>
  <c r="J28" i="7"/>
  <c r="I28" i="7"/>
  <c r="N27" i="7"/>
  <c r="M27" i="7"/>
  <c r="L27" i="7"/>
  <c r="K27" i="7"/>
  <c r="J27" i="7"/>
  <c r="I27" i="7"/>
  <c r="N26" i="7"/>
  <c r="M26" i="7"/>
  <c r="L26" i="7"/>
  <c r="K26" i="7"/>
  <c r="J26" i="7"/>
  <c r="I26" i="7"/>
  <c r="N25" i="7"/>
  <c r="M25" i="7"/>
  <c r="L25" i="7"/>
  <c r="K25" i="7"/>
  <c r="J25" i="7"/>
  <c r="I25" i="7"/>
  <c r="N24" i="7"/>
  <c r="M24" i="7"/>
  <c r="L24" i="7"/>
  <c r="K24" i="7"/>
  <c r="J24" i="7"/>
  <c r="I24" i="7"/>
  <c r="N23" i="7"/>
  <c r="M23" i="7"/>
  <c r="L23" i="7"/>
  <c r="K23" i="7"/>
  <c r="J23" i="7"/>
  <c r="I23" i="7"/>
  <c r="N22" i="7"/>
  <c r="M22" i="7"/>
  <c r="L22" i="7"/>
  <c r="K22" i="7"/>
  <c r="J22" i="7"/>
  <c r="I22" i="7"/>
  <c r="N21" i="7"/>
  <c r="M21" i="7"/>
  <c r="L21" i="7"/>
  <c r="K21" i="7"/>
  <c r="J21" i="7"/>
  <c r="I21" i="7"/>
  <c r="N20" i="7"/>
  <c r="M20" i="7"/>
  <c r="L20" i="7"/>
  <c r="K20" i="7"/>
  <c r="J20" i="7"/>
  <c r="I20" i="7"/>
  <c r="N19" i="7"/>
  <c r="M19" i="7"/>
  <c r="L19" i="7"/>
  <c r="K19" i="7"/>
  <c r="J19" i="7"/>
  <c r="I19" i="7"/>
  <c r="N18" i="7"/>
  <c r="M18" i="7"/>
  <c r="L18" i="7"/>
  <c r="K18" i="7"/>
  <c r="J18" i="7"/>
  <c r="I18" i="7"/>
  <c r="N17" i="7"/>
  <c r="M17" i="7"/>
  <c r="L17" i="7"/>
  <c r="K17" i="7"/>
  <c r="J17" i="7"/>
  <c r="I17" i="7"/>
  <c r="N16" i="7"/>
  <c r="M16" i="7"/>
  <c r="L16" i="7"/>
  <c r="K16" i="7"/>
  <c r="J16" i="7"/>
  <c r="I16" i="7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N10" i="7"/>
  <c r="M10" i="7"/>
  <c r="L10" i="7"/>
  <c r="K10" i="7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N7" i="7"/>
  <c r="M7" i="7"/>
  <c r="L7" i="7"/>
  <c r="K7" i="7"/>
  <c r="J7" i="7"/>
  <c r="I7" i="7"/>
  <c r="N6" i="7"/>
  <c r="M6" i="7"/>
  <c r="L6" i="7"/>
  <c r="K6" i="7"/>
  <c r="J6" i="7"/>
  <c r="I6" i="7"/>
  <c r="N5" i="7"/>
  <c r="M5" i="7"/>
  <c r="L5" i="7"/>
  <c r="K5" i="7"/>
  <c r="J5" i="7"/>
  <c r="I5" i="7"/>
  <c r="N4" i="7"/>
  <c r="M4" i="7"/>
  <c r="L4" i="7"/>
  <c r="K4" i="7"/>
  <c r="J4" i="7"/>
  <c r="I4" i="7"/>
  <c r="N3" i="7"/>
  <c r="M3" i="7"/>
  <c r="L3" i="7"/>
  <c r="K3" i="7"/>
  <c r="J3" i="7"/>
  <c r="I3" i="7"/>
  <c r="N2" i="7"/>
  <c r="M2" i="7"/>
  <c r="L2" i="7"/>
  <c r="K2" i="7"/>
  <c r="J2" i="7"/>
  <c r="I2" i="7"/>
  <c r="K29" i="6" l="1"/>
  <c r="K31" i="6"/>
  <c r="K30" i="6"/>
  <c r="K26" i="6"/>
  <c r="K25" i="6"/>
  <c r="K24" i="6"/>
  <c r="K21" i="6"/>
  <c r="K20" i="6"/>
  <c r="K19" i="6"/>
  <c r="K16" i="6"/>
  <c r="K15" i="6"/>
  <c r="E153" i="6"/>
  <c r="E136" i="6"/>
  <c r="E156" i="6" s="1"/>
  <c r="E152" i="6" l="1"/>
  <c r="E154" i="6"/>
  <c r="E155" i="6"/>
  <c r="E153" i="5"/>
  <c r="E136" i="5"/>
  <c r="E136" i="4"/>
  <c r="E1048574" i="6" l="1"/>
  <c r="E152" i="5"/>
  <c r="E154" i="5"/>
  <c r="E155" i="5"/>
  <c r="E156" i="5"/>
  <c r="E1048576" i="4"/>
  <c r="H1" i="2"/>
  <c r="E1048574" i="5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Table10" description="Connection to the 'Table10' query in the workbook." type="5" refreshedVersion="6" background="1" saveData="1">
    <dbPr connection="Provider=Microsoft.Mashup.OleDb.1;Data Source=$Workbook$;Location=Table10;Extended Properties=&quot;&quot;" command="SELECT * FROM [Table10]"/>
  </connection>
</connections>
</file>

<file path=xl/sharedStrings.xml><?xml version="1.0" encoding="utf-8"?>
<sst xmlns="http://schemas.openxmlformats.org/spreadsheetml/2006/main" count="11410" uniqueCount="404">
  <si>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</si>
  <si>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</si>
  <si>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</si>
  <si>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</si>
  <si>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</si>
  <si>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</si>
  <si>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</si>
  <si>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</si>
  <si>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</si>
  <si>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</si>
  <si>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</si>
  <si>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</si>
  <si>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</si>
  <si>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</si>
  <si>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</si>
  <si>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</si>
  <si>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</si>
  <si>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</si>
  <si>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</si>
  <si>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</si>
  <si>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</si>
  <si>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</si>
  <si>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</si>
  <si>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</si>
  <si>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</si>
  <si>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</si>
  <si>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</si>
  <si>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</si>
  <si>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</si>
  <si>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</si>
  <si>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</si>
  <si>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</si>
  <si>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</si>
  <si>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</si>
  <si>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</si>
  <si>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</si>
  <si>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</si>
  <si>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</si>
  <si>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</si>
  <si>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</si>
  <si>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</si>
  <si>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</si>
  <si>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</si>
  <si>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</si>
  <si>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</si>
  <si>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</si>
  <si>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</si>
  <si>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</si>
  <si>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</si>
  <si>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</si>
  <si>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</si>
  <si>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</si>
  <si>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</si>
  <si>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</si>
  <si>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</si>
  <si>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</si>
  <si>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</si>
  <si>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</si>
  <si>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</si>
  <si>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</si>
  <si>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</si>
  <si>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</si>
  <si>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</si>
  <si>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</si>
  <si>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</si>
  <si>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</si>
  <si>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</si>
  <si>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</si>
  <si>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</si>
  <si>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</si>
  <si>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</si>
  <si>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</si>
  <si>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</si>
  <si>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</si>
  <si>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</si>
  <si>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</si>
  <si>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</si>
  <si>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</si>
  <si>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</si>
  <si>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</si>
  <si>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</si>
  <si>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</si>
  <si>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</si>
  <si>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</si>
  <si>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</si>
  <si>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</si>
  <si>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</si>
  <si>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</si>
  <si>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</si>
  <si>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</si>
  <si>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</si>
  <si>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</si>
  <si>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</si>
  <si>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</si>
  <si>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</si>
  <si>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</si>
  <si>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</si>
  <si>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</si>
  <si>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</si>
  <si>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</si>
  <si>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</si>
  <si>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</si>
  <si>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</si>
  <si>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</si>
  <si>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</si>
  <si>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</si>
  <si>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</si>
  <si>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</si>
  <si>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</si>
  <si>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</si>
  <si>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</si>
  <si>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</si>
  <si>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</si>
  <si>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</si>
  <si>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</si>
  <si>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</si>
  <si>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</si>
  <si>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</si>
  <si>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</si>
  <si>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</si>
  <si>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</si>
  <si>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</si>
  <si>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</si>
  <si>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</si>
  <si>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</si>
  <si>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</si>
  <si>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</si>
  <si>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</si>
  <si>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</si>
  <si>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</si>
  <si>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</si>
  <si>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</si>
  <si>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</si>
  <si>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</si>
  <si>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</si>
  <si>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</si>
  <si>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</si>
  <si>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</si>
  <si>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</si>
  <si>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</si>
  <si>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</si>
  <si>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</si>
  <si>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</si>
  <si>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</si>
  <si>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</si>
  <si>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</si>
  <si>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</si>
  <si>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</si>
  <si>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</si>
  <si>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</si>
  <si>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</si>
  <si>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</si>
  <si>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</si>
  <si>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</si>
  <si>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</si>
  <si>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</si>
  <si>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</si>
  <si>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</si>
  <si>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</si>
  <si>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</si>
  <si>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</si>
  <si>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</si>
  <si>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</si>
  <si>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</si>
  <si>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</si>
  <si>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</si>
  <si>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</si>
  <si>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</si>
  <si>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</si>
  <si>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</si>
  <si>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</si>
  <si>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</si>
  <si>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</si>
  <si>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</si>
  <si>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</si>
  <si>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</si>
  <si>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</si>
  <si>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</si>
  <si>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</si>
  <si>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</si>
  <si>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</si>
  <si>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</si>
  <si>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</si>
  <si>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</si>
  <si>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</si>
  <si>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</si>
  <si>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</si>
  <si>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</si>
  <si>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</si>
  <si>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</si>
  <si>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</si>
  <si>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</si>
  <si>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</si>
  <si>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</si>
  <si>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</si>
  <si>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</si>
  <si>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</si>
  <si>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</si>
  <si>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</si>
  <si>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</si>
  <si>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</si>
  <si>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</si>
  <si>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</si>
  <si>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</si>
  <si>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</si>
  <si>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</si>
  <si>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</si>
  <si>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</si>
  <si>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</si>
  <si>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</si>
  <si>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</si>
  <si>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</si>
  <si>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</si>
  <si>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</si>
  <si>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</si>
  <si>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</si>
  <si>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</si>
  <si>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</si>
  <si>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</si>
  <si>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</si>
  <si>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</si>
  <si>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</si>
  <si>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</si>
  <si>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</si>
  <si>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</si>
  <si>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</si>
  <si>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</si>
  <si>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</si>
  <si>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</si>
  <si>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</si>
  <si>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</si>
  <si>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</si>
  <si>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</si>
  <si>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</si>
  <si>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</si>
  <si>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</si>
  <si>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</si>
  <si>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</si>
  <si>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</si>
  <si>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</si>
  <si>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</si>
  <si>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</si>
  <si>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</si>
  <si>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</si>
  <si>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</si>
  <si>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</si>
  <si>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</si>
  <si>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</si>
  <si>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</si>
  <si>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</si>
  <si>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</si>
  <si>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</si>
  <si>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</si>
  <si>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</si>
  <si>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</si>
  <si>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</si>
  <si>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</si>
  <si>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</si>
  <si>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</si>
  <si>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</si>
  <si>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</si>
  <si>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</si>
  <si>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</si>
  <si>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</si>
  <si>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</si>
  <si>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</si>
  <si>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</si>
  <si>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</si>
  <si>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</si>
  <si>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</si>
  <si>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</si>
  <si>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</si>
  <si>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</si>
  <si>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</si>
  <si>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</si>
  <si>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</si>
  <si>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</si>
  <si>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</si>
  <si>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</si>
  <si>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</si>
  <si>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</si>
  <si>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</si>
  <si>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</si>
  <si>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</si>
  <si>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</si>
  <si>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</si>
  <si>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</si>
  <si>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</si>
  <si>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</si>
  <si>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</si>
  <si>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</si>
  <si>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</si>
  <si>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</si>
  <si>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</si>
  <si>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</si>
  <si>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</si>
  <si>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</si>
  <si>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</si>
  <si>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</si>
  <si>
    <t>works done</t>
  </si>
  <si>
    <t>BLANK CELL</t>
  </si>
  <si>
    <t>UNKNOWN</t>
  </si>
  <si>
    <t>MALE</t>
  </si>
  <si>
    <t>FEMALE</t>
  </si>
  <si>
    <t>OTHERS</t>
  </si>
  <si>
    <t>CREATED table with drop down header</t>
  </si>
  <si>
    <t>salary with decimal points</t>
  </si>
  <si>
    <t xml:space="preserve">deleted date of joining column as it doesn’t having any datas </t>
  </si>
  <si>
    <t>SUM</t>
  </si>
  <si>
    <t>AVERAGE</t>
  </si>
  <si>
    <t>MINIMUM</t>
  </si>
  <si>
    <t>MAXIMUM</t>
  </si>
  <si>
    <t>COUNT</t>
  </si>
  <si>
    <t>TO FIND</t>
  </si>
  <si>
    <t xml:space="preserve"> RESULT FOR SALARY COLUMN</t>
  </si>
  <si>
    <t>SUMIF</t>
  </si>
  <si>
    <t>Total salary of India</t>
  </si>
  <si>
    <t>TASK3 20/12/2025</t>
  </si>
  <si>
    <t>TASK 4 21/12/2025</t>
  </si>
  <si>
    <t>Total salary of Germany</t>
  </si>
  <si>
    <t>Total salary of UK</t>
  </si>
  <si>
    <t>Column1</t>
  </si>
  <si>
    <t>AVERAGEIF</t>
  </si>
  <si>
    <t>AVG SALARY OF MALE</t>
  </si>
  <si>
    <t>AVG SALARY OF FEMALE</t>
  </si>
  <si>
    <t>AVG SALARY OF OTHER</t>
  </si>
  <si>
    <t>COUNTIF</t>
  </si>
  <si>
    <t xml:space="preserve">COUNTING NUMBER OF HR DEPT </t>
  </si>
  <si>
    <t xml:space="preserve">COUNTING NUMBER OF IT DEPT </t>
  </si>
  <si>
    <t xml:space="preserve">COUNTING NUMBER OF Sales DEPT </t>
  </si>
  <si>
    <t>IF AND NESTED IF</t>
  </si>
  <si>
    <t>&gt;90000 IN SALARY</t>
  </si>
  <si>
    <t>&gt;50000 AND &gt;90000</t>
  </si>
  <si>
    <t>&gt;20000 AND &gt;50000</t>
  </si>
  <si>
    <t>LEFT B2,4</t>
  </si>
  <si>
    <t>RIGHT B2,4</t>
  </si>
  <si>
    <t>UPPER B2</t>
  </si>
  <si>
    <t>LOWER B2</t>
  </si>
  <si>
    <t>PROPER B2</t>
  </si>
  <si>
    <t>MID A2</t>
  </si>
  <si>
    <t>Name cleaned</t>
  </si>
  <si>
    <t>Date of JoininG</t>
  </si>
  <si>
    <t>Gender cleaned</t>
  </si>
  <si>
    <t>Department2</t>
  </si>
  <si>
    <t>Country2</t>
  </si>
  <si>
    <t>Department wise Salary</t>
  </si>
  <si>
    <t>Country wise salary</t>
  </si>
  <si>
    <t>Salary by Department</t>
  </si>
  <si>
    <t>Salary by Country</t>
  </si>
  <si>
    <t>Email id</t>
  </si>
  <si>
    <t/>
  </si>
  <si>
    <t>8/5/15 12:00AM</t>
  </si>
  <si>
    <t>12:00AM</t>
  </si>
  <si>
    <t>Flash Fill time</t>
  </si>
  <si>
    <t>Text to Column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</si>
  <si>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</si>
  <si>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</si>
  <si>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</si>
  <si>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</si>
  <si>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</si>
  <si>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</si>
  <si>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</si>
  <si>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</si>
  <si>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</si>
  <si>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</si>
  <si>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</si>
  <si>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</si>
  <si>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</si>
  <si>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</si>
  <si>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TRIM</t>
  </si>
  <si>
    <t>Works done</t>
  </si>
  <si>
    <t>1. Text to Column done on column B</t>
  </si>
  <si>
    <t>2. Flash Fill done on column G</t>
  </si>
  <si>
    <t>3. TRIM done on column D</t>
  </si>
  <si>
    <t>Works Done</t>
  </si>
  <si>
    <t xml:space="preserve">1. Highlighted the missing datas </t>
  </si>
  <si>
    <t>2. Removed all duplicates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</si>
  <si>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</si>
  <si>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</si>
  <si>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</si>
  <si>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</si>
  <si>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</si>
  <si>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</si>
  <si>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</si>
  <si>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</si>
  <si>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</si>
  <si>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</si>
  <si>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</si>
  <si>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</si>
  <si>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</si>
  <si>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Value1</t>
  </si>
  <si>
    <t>Value2</t>
  </si>
  <si>
    <r>
      <t xml:space="preserve">1. Sorted  Salary by </t>
    </r>
    <r>
      <rPr>
        <b/>
        <sz val="11"/>
        <color theme="1"/>
        <rFont val="Calibri"/>
        <family val="2"/>
        <scheme val="minor"/>
      </rPr>
      <t xml:space="preserve">Department and Employment ID column </t>
    </r>
    <r>
      <rPr>
        <sz val="11"/>
        <color theme="1"/>
        <rFont val="Calibri"/>
        <family val="2"/>
        <scheme val="minor"/>
      </rPr>
      <t xml:space="preserve">by </t>
    </r>
    <r>
      <rPr>
        <b/>
        <sz val="11"/>
        <color theme="1"/>
        <rFont val="Calibri"/>
        <family val="2"/>
        <scheme val="minor"/>
      </rPr>
      <t>Descending order.</t>
    </r>
  </si>
  <si>
    <r>
      <t xml:space="preserve">2. Filtered </t>
    </r>
    <r>
      <rPr>
        <b/>
        <sz val="11"/>
        <color theme="1"/>
        <rFont val="Calibri"/>
        <family val="2"/>
        <scheme val="minor"/>
      </rPr>
      <t>Performance Rating Column by value 2</t>
    </r>
    <r>
      <rPr>
        <sz val="11"/>
        <color theme="1"/>
        <rFont val="Calibri"/>
        <family val="2"/>
        <scheme val="minor"/>
      </rPr>
      <t>..</t>
    </r>
  </si>
  <si>
    <t xml:space="preserve">Today </t>
  </si>
  <si>
    <t>Now</t>
  </si>
  <si>
    <t>Year</t>
  </si>
  <si>
    <t>Reference</t>
  </si>
  <si>
    <t>Result</t>
  </si>
  <si>
    <t>Findings</t>
  </si>
  <si>
    <t>Emp_ID</t>
  </si>
  <si>
    <t>Work done</t>
  </si>
  <si>
    <t>TASK13_P sheet to Task13 sheet</t>
  </si>
  <si>
    <r>
      <t xml:space="preserve">Used </t>
    </r>
    <r>
      <rPr>
        <b/>
        <sz val="11"/>
        <color theme="0"/>
        <rFont val="Calibri"/>
        <family val="2"/>
        <scheme val="minor"/>
      </rPr>
      <t>VLOOKUP FORMULA and copied the datas from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</si>
</sst>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[$-409]m/d/yy\ h:mm\ AM/PM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1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0" xfId="0" applyFill="1"/>
    <xf numFmtId="0" fontId="10" fillId="8" borderId="0" xfId="0" applyFont="1" applyFill="1"/>
    <xf numFmtId="0" fontId="12" fillId="6" borderId="0" xfId="0" applyFont="1" applyFill="1"/>
    <xf numFmtId="0" fontId="11" fillId="6" borderId="0" xfId="0" applyFont="1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13" fillId="0" borderId="0" xfId="0" applyFont="1"/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0" xfId="0" applyBorder="1" applyAlignment="1"/>
    <xf numFmtId="2" fontId="0" fillId="0" borderId="11" xfId="0" applyNumberFormat="1" applyBorder="1"/>
    <xf numFmtId="2" fontId="0" fillId="0" borderId="9" xfId="0" applyNumberFormat="1" applyBorder="1" applyAlignment="1"/>
    <xf numFmtId="2" fontId="0" fillId="0" borderId="13" xfId="0" applyNumberFormat="1" applyBorder="1"/>
    <xf numFmtId="0" fontId="0" fillId="10" borderId="14" xfId="0" applyFill="1" applyBorder="1"/>
    <xf numFmtId="0" fontId="0" fillId="0" borderId="0" xfId="0" applyAlignment="1">
      <alignment horizontal="center" vertical="center"/>
    </xf>
    <xf numFmtId="0" fontId="14" fillId="11" borderId="0" xfId="0" applyFont="1" applyFill="1" applyBorder="1"/>
    <xf numFmtId="0" fontId="14" fillId="11" borderId="0" xfId="0" applyFont="1" applyFill="1"/>
    <xf numFmtId="0" fontId="0" fillId="0" borderId="0" xfId="0" applyNumberFormat="1"/>
    <xf numFmtId="0" fontId="15" fillId="0" borderId="2" xfId="1" applyNumberFormat="1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1" xfId="0" applyBorder="1"/>
    <xf numFmtId="0" fontId="0" fillId="0" borderId="16" xfId="0" applyBorder="1"/>
    <xf numFmtId="164" fontId="0" fillId="0" borderId="16" xfId="0" applyNumberFormat="1" applyBorder="1"/>
    <xf numFmtId="0" fontId="0" fillId="0" borderId="13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/>
    <xf numFmtId="0" fontId="1" fillId="0" borderId="3" xfId="0" applyFont="1" applyBorder="1" applyAlignment="1"/>
    <xf numFmtId="0" fontId="1" fillId="0" borderId="15" xfId="0" applyFont="1" applyBorder="1" applyAlignment="1"/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2" fontId="1" fillId="0" borderId="3" xfId="0" applyNumberFormat="1" applyFont="1" applyBorder="1" applyAlignment="1"/>
    <xf numFmtId="2" fontId="0" fillId="0" borderId="1" xfId="0" applyNumberFormat="1" applyBorder="1"/>
    <xf numFmtId="0" fontId="1" fillId="12" borderId="3" xfId="0" applyFont="1" applyFill="1" applyBorder="1" applyAlignment="1"/>
    <xf numFmtId="2" fontId="1" fillId="12" borderId="3" xfId="0" applyNumberFormat="1" applyFont="1" applyFill="1" applyBorder="1" applyAlignment="1"/>
    <xf numFmtId="2" fontId="0" fillId="0" borderId="3" xfId="0" applyNumberFormat="1" applyBorder="1"/>
    <xf numFmtId="2" fontId="0" fillId="0" borderId="1" xfId="0" applyNumberFormat="1" applyFont="1" applyBorder="1"/>
    <xf numFmtId="2" fontId="0" fillId="0" borderId="16" xfId="0" applyNumberFormat="1" applyBorder="1"/>
    <xf numFmtId="0" fontId="0" fillId="0" borderId="1" xfId="0" applyFill="1" applyBorder="1" applyAlignment="1">
      <alignment horizontal="left" indent="1"/>
    </xf>
    <xf numFmtId="0" fontId="0" fillId="0" borderId="1" xfId="0" applyFill="1" applyBorder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2" fontId="0" fillId="0" borderId="1" xfId="0" applyNumberFormat="1" applyFill="1" applyBorder="1" applyAlignment="1">
      <alignment horizontal="right" indent="1"/>
    </xf>
    <xf numFmtId="2" fontId="0" fillId="0" borderId="0" xfId="0" applyNumberFormat="1" applyAlignment="1">
      <alignment horizontal="right"/>
    </xf>
    <xf numFmtId="0" fontId="0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13" borderId="3" xfId="0" applyFont="1" applyFill="1" applyBorder="1" applyAlignment="1">
      <alignment horizontal="center" vertical="top"/>
    </xf>
    <xf numFmtId="0" fontId="0" fillId="13" borderId="0" xfId="0" applyFill="1"/>
    <xf numFmtId="0" fontId="1" fillId="13" borderId="3" xfId="0" applyFont="1" applyFill="1" applyBorder="1" applyAlignment="1">
      <alignment horizontal="center" vertical="center"/>
    </xf>
    <xf numFmtId="18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1" fillId="0" borderId="3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9" fillId="14" borderId="3" xfId="0" applyFont="1" applyFill="1" applyBorder="1" applyAlignment="1">
      <alignment horizontal="center" vertical="top"/>
    </xf>
    <xf numFmtId="0" fontId="19" fillId="14" borderId="4" xfId="0" applyFont="1" applyFill="1" applyBorder="1" applyAlignment="1">
      <alignment horizontal="center" vertical="top"/>
    </xf>
    <xf numFmtId="2" fontId="19" fillId="14" borderId="3" xfId="0" applyNumberFormat="1" applyFont="1" applyFill="1" applyBorder="1" applyAlignment="1">
      <alignment horizontal="center" vertical="top"/>
    </xf>
    <xf numFmtId="0" fontId="19" fillId="14" borderId="3" xfId="0" applyNumberFormat="1" applyFont="1" applyFill="1" applyBorder="1" applyAlignment="1">
      <alignment horizontal="center" vertical="center" wrapText="1"/>
    </xf>
    <xf numFmtId="0" fontId="0" fillId="6" borderId="0" xfId="0" applyFill="1"/>
    <xf numFmtId="2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vertical="center"/>
    </xf>
    <xf numFmtId="2" fontId="0" fillId="6" borderId="0" xfId="0" applyNumberFormat="1" applyFill="1"/>
    <xf numFmtId="2" fontId="0" fillId="6" borderId="0" xfId="0" applyNumberFormat="1" applyFill="1" applyAlignment="1">
      <alignment horizontal="center"/>
    </xf>
    <xf numFmtId="2" fontId="0" fillId="6" borderId="0" xfId="0" applyNumberFormat="1" applyFill="1" applyBorder="1"/>
    <xf numFmtId="0" fontId="18" fillId="15" borderId="0" xfId="0" applyFont="1" applyFill="1"/>
    <xf numFmtId="0" fontId="0" fillId="15" borderId="0" xfId="0" applyFill="1" applyAlignment="1">
      <alignment horizontal="center"/>
    </xf>
    <xf numFmtId="2" fontId="0" fillId="15" borderId="0" xfId="0" applyNumberFormat="1" applyFill="1" applyAlignment="1">
      <alignment horizontal="right"/>
    </xf>
    <xf numFmtId="0" fontId="0" fillId="15" borderId="0" xfId="0" applyFill="1" applyAlignment="1">
      <alignment horizontal="center" vertical="center"/>
    </xf>
    <xf numFmtId="0" fontId="20" fillId="16" borderId="4" xfId="0" applyFont="1" applyFill="1" applyBorder="1" applyAlignment="1">
      <alignment horizontal="center"/>
    </xf>
    <xf numFmtId="0" fontId="20" fillId="16" borderId="3" xfId="0" applyFont="1" applyFill="1" applyBorder="1" applyAlignment="1">
      <alignment horizontal="center"/>
    </xf>
    <xf numFmtId="0" fontId="20" fillId="16" borderId="15" xfId="0" applyFont="1" applyFill="1" applyBorder="1" applyAlignment="1">
      <alignment horizontal="center"/>
    </xf>
    <xf numFmtId="0" fontId="0" fillId="0" borderId="10" xfId="0" applyFill="1" applyBorder="1" applyAlignment="1"/>
    <xf numFmtId="0" fontId="0" fillId="0" borderId="1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6" xfId="0" applyFill="1" applyBorder="1" applyAlignment="1"/>
    <xf numFmtId="0" fontId="0" fillId="0" borderId="13" xfId="0" applyFill="1" applyBorder="1" applyAlignment="1"/>
    <xf numFmtId="2" fontId="0" fillId="0" borderId="1" xfId="0" applyNumberFormat="1" applyFill="1" applyBorder="1" applyAlignment="1"/>
    <xf numFmtId="2" fontId="0" fillId="0" borderId="11" xfId="0" applyNumberFormat="1" applyFill="1" applyBorder="1" applyAlignment="1"/>
    <xf numFmtId="2" fontId="0" fillId="15" borderId="0" xfId="0" applyNumberFormat="1" applyFill="1" applyAlignment="1">
      <alignment horizontal="center"/>
    </xf>
    <xf numFmtId="0" fontId="18" fillId="5" borderId="0" xfId="0" applyFont="1" applyFill="1"/>
    <xf numFmtId="0" fontId="0" fillId="17" borderId="0" xfId="0" applyFill="1"/>
    <xf numFmtId="2" fontId="0" fillId="16" borderId="0" xfId="0" applyNumberFormat="1" applyFill="1" applyAlignment="1"/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center" vertical="center"/>
    </xf>
    <xf numFmtId="14" fontId="0" fillId="0" borderId="1" xfId="0" applyNumberFormat="1" applyBorder="1"/>
    <xf numFmtId="22" fontId="0" fillId="0" borderId="1" xfId="0" applyNumberFormat="1" applyBorder="1"/>
    <xf numFmtId="0" fontId="0" fillId="14" borderId="0" xfId="0" applyFill="1"/>
    <xf numFmtId="0" fontId="21" fillId="18" borderId="0" xfId="0" applyFont="1" applyFill="1"/>
    <xf numFmtId="0" fontId="21" fillId="19" borderId="0" xfId="0" applyFont="1" applyFill="1"/>
  </cellXfs>
  <cellStyles count="2">
    <cellStyle name="Heading 1" xfId="1" builtinId="16"/>
    <cellStyle name="Normal" xfId="0" builtinId="0"/>
  </cellStyles>
  <dxfs count="295">
    <dxf>
      <alignment horizontal="center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6" tint="0.5999938962981048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6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fill>
        <patternFill>
          <fgColor indexed="64"/>
          <bgColor rgb="FF92D050"/>
        </patternFill>
      </fill>
    </dxf>
    <dxf>
      <numFmt numFmtId="23" formatCode="h:mm\ AM/PM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165" formatCode="[$-409]m/d/yy\ h:mm\ AM/PM;@"/>
      <alignment horizontal="center" vertical="center" textRotation="0" wrapText="0" indent="0" justifyLastLine="0" shrinkToFit="0" readingOrder="0"/>
    </dxf>
    <dxf>
      <numFmt numFmtId="2" formatCode="0.00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19"/>
      <queryTableField id="2" name="Name" tableColumnId="20"/>
      <queryTableField id="3" name="Department" tableColumnId="21"/>
      <queryTableField id="4" name="Country" tableColumnId="22"/>
      <queryTableField id="5" name="Salary by Department" tableColumnId="23"/>
      <queryTableField id="6" name="Salary by Country" tableColumnId="24"/>
      <queryTableField id="7" name="Gender" tableColumnId="25"/>
      <queryTableField id="8" name="Performance Rating" tableColumnId="26"/>
      <queryTableField id="9" name="Email id" tableColumnId="27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H153" totalsRowCount="1" headerRowDxfId="294" headerRowBorderDxfId="293" tableBorderDxfId="292">
  <autoFilter ref="A1:H152"/>
  <tableColumns count="8">
    <tableColumn id="1" name="Employee ID"/>
    <tableColumn id="2" name="Name"/>
    <tableColumn id="3" name="Department"/>
    <tableColumn id="4" name="Country"/>
    <tableColumn id="5" name="Salary" dataDxfId="291" totalsRowDxfId="290"/>
    <tableColumn id="6" name="Performance Rating" dataDxfId="289" totalsRowDxfId="288"/>
    <tableColumn id="7" name="Gender"/>
    <tableColumn id="8" name="Email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13" displayName="Table13" ref="A1:H151" totalsRowShown="0" headerRowDxfId="287" headerRowBorderDxfId="286" tableBorderDxfId="285">
  <autoFilter ref="A1:H151"/>
  <tableColumns count="8">
    <tableColumn id="1" name="Employee ID"/>
    <tableColumn id="2" name="Name"/>
    <tableColumn id="3" name="Department"/>
    <tableColumn id="4" name="Country"/>
    <tableColumn id="5" name="Salary" dataDxfId="284" totalsRowDxfId="283"/>
    <tableColumn id="6" name="Performance Rating" dataDxfId="282" totalsRowDxfId="281"/>
    <tableColumn id="7" name="Gender"/>
    <tableColumn id="8" name="Email"/>
  </tableColumns>
  <tableStyleInfo name="TableStyleMedium24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J3:K9" totalsRowShown="0" headerRowDxfId="280" headerRowBorderDxfId="279" tableBorderDxfId="278">
  <autoFilter ref="J3:K9"/>
  <tableColumns count="2">
    <tableColumn id="1" name="TO FIND" dataDxfId="277"/>
    <tableColumn id="2" name=" RESULT FOR SALARY COLUMN" dataDxfId="276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A1:I151" totalsRowShown="0" headerRowDxfId="275" headerRowBorderDxfId="274" tableBorderDxfId="273">
  <autoFilter ref="A1:I151"/>
  <tableColumns count="9">
    <tableColumn id="1" name="Employee ID"/>
    <tableColumn id="2" name="Name"/>
    <tableColumn id="3" name="Department"/>
    <tableColumn id="4" name="Country"/>
    <tableColumn id="5" name="Salary" dataDxfId="272" totalsRowDxfId="271"/>
    <tableColumn id="6" name="Performance Rating" dataDxfId="270" totalsRowDxfId="269"/>
    <tableColumn id="7" name="Gender"/>
    <tableColumn id="8" name="Email"/>
    <tableColumn id="9" name="Column1"/>
  </tableColumns>
  <tableStyleInfo name="TableStyleMedium24" showFirstColumn="0" showLastColumn="0" showRowStripes="0" showColumnStripes="1"/>
</table>
</file>

<file path=xl/tables/table5.xml><?xml version="1.0" encoding="utf-8"?>
<table xmlns="http://schemas.openxmlformats.org/spreadsheetml/2006/main" id="5" name="Table36" displayName="Table36" ref="J3:K9" totalsRowShown="0" headerRowDxfId="268" headerRowBorderDxfId="267" tableBorderDxfId="266">
  <autoFilter ref="J3:K9"/>
  <tableColumns count="2">
    <tableColumn id="1" name="TO FIND" dataDxfId="265"/>
    <tableColumn id="2" name=" RESULT FOR SALARY COLUMN" dataDxfId="264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N151" totalsRowShown="0" headerRowDxfId="263" headerRowBorderDxfId="262" tableBorderDxfId="261">
  <autoFilter ref="A1:N151"/>
  <tableColumns count="14">
    <tableColumn id="1" name="Employee ID"/>
    <tableColumn id="2" name="Name"/>
    <tableColumn id="3" name="Department"/>
    <tableColumn id="4" name="Country"/>
    <tableColumn id="5" name="Salary" dataDxfId="260" totalsRowDxfId="259"/>
    <tableColumn id="6" name="Performance Rating" dataDxfId="258" totalsRowDxfId="257"/>
    <tableColumn id="7" name="Gender"/>
    <tableColumn id="8" name="Email"/>
    <tableColumn id="9" name="LEFT B2,4" dataDxfId="256">
      <calculatedColumnFormula>LEFT(B2,4)</calculatedColumnFormula>
    </tableColumn>
    <tableColumn id="10" name="RIGHT B2,4" dataDxfId="255">
      <calculatedColumnFormula>RIGHT(B2,4)</calculatedColumnFormula>
    </tableColumn>
    <tableColumn id="11" name="UPPER B2" dataDxfId="254">
      <calculatedColumnFormula>UPPER(B2)</calculatedColumnFormula>
    </tableColumn>
    <tableColumn id="12" name="LOWER B2" dataDxfId="253">
      <calculatedColumnFormula>LOWER(B2)</calculatedColumnFormula>
    </tableColumn>
    <tableColumn id="13" name="PROPER B2" dataDxfId="252">
      <calculatedColumnFormula>PROPER(B2)</calculatedColumnFormula>
    </tableColumn>
    <tableColumn id="14" name="MID A2" dataDxfId="251">
      <calculatedColumnFormula>MID(A2,4,4)</calculatedColumnFormula>
    </tableColumn>
  </tableColumns>
  <tableStyleInfo name="TableStyleMedium24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A1:I151" totalsRowShown="0" headerRowDxfId="250" headerRowBorderDxfId="249" tableBorderDxfId="248" totalsRowBorderDxfId="247">
  <autoFilter ref="A1:I151"/>
  <tableColumns count="9">
    <tableColumn id="1" name="Employee ID" dataDxfId="246"/>
    <tableColumn id="2" name="Name" dataDxfId="245"/>
    <tableColumn id="3" name="Department" dataDxfId="244"/>
    <tableColumn id="4" name="Country" dataDxfId="243"/>
    <tableColumn id="5" name="Salary" dataDxfId="242"/>
    <tableColumn id="6" name="Date of Joining" dataDxfId="241"/>
    <tableColumn id="7" name="Performance Rating" dataDxfId="240"/>
    <tableColumn id="8" name="Gender" dataDxfId="239"/>
    <tableColumn id="9" name="Email" dataDxfId="238"/>
  </tableColumns>
  <tableStyleInfo name="TableStyleDark11" showFirstColumn="0" showLastColumn="0" showRowStripes="1" showColumnStripes="0"/>
</table>
</file>

<file path=xl/tables/table8.xml><?xml version="1.0" encoding="utf-8"?>
<table xmlns="http://schemas.openxmlformats.org/spreadsheetml/2006/main" id="8" name="Table79" displayName="Table79" ref="A1:O100" totalsRowShown="0" headerRowDxfId="237" headerRowBorderDxfId="236" tableBorderDxfId="235" totalsRowBorderDxfId="234">
  <autoFilter ref="A1:O100"/>
  <tableColumns count="15">
    <tableColumn id="1" name="Employee ID" dataDxfId="233"/>
    <tableColumn id="2" name="Name" dataDxfId="232"/>
    <tableColumn id="3" name="Department" dataDxfId="231"/>
    <tableColumn id="4" name="Country" dataDxfId="230"/>
    <tableColumn id="5" name="Salary" dataDxfId="229"/>
    <tableColumn id="6" name="Date of JoininG" dataDxfId="228"/>
    <tableColumn id="7" name="Performance Rating" dataDxfId="227"/>
    <tableColumn id="8" name="Gender" dataDxfId="226"/>
    <tableColumn id="9" name="Email" dataDxfId="225"/>
    <tableColumn id="12" name="Name cleaned" dataDxfId="224">
      <calculatedColumnFormula>IF(ISBLANK(B2),"UNKNOWN",B2)</calculatedColumnFormula>
    </tableColumn>
    <tableColumn id="14" name="Department2" dataDxfId="223">
      <calculatedColumnFormula>IF(ISBLANK(C2),"Unknown",C2)</calculatedColumnFormula>
    </tableColumn>
    <tableColumn id="15" name="Country2" dataDxfId="222">
      <calculatedColumnFormula>IF(ISBLANK(D2),"unknown",D2)</calculatedColumnFormula>
    </tableColumn>
    <tableColumn id="13" name="Gender cleaned" dataDxfId="221">
      <calculatedColumnFormula>PROPER(H2)</calculatedColumnFormula>
    </tableColumn>
    <tableColumn id="16" name="Department wise Salary" dataDxfId="220">
      <calculatedColumnFormula>IF(E2="N/A",AVERAGEIF(Table79[Department],Table79[[#This Row],[Department]],Table79[Salary]),E2)</calculatedColumnFormula>
    </tableColumn>
    <tableColumn id="17" name="Country wise salary" dataDxfId="219">
      <calculatedColumnFormula>IF(E2="N/A",AVERAGEIF(Table79[Country2],Table79[[#This Row],[Country2]],Table79[Salary]),E2)</calculatedColumnFormula>
    </tableColumn>
  </tableColumns>
  <tableStyleInfo name="TableStyleDark1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I100" totalsRowShown="0" headerRowDxfId="218" dataDxfId="217">
  <autoFilter ref="A1:I100"/>
  <tableColumns count="9">
    <tableColumn id="1" name="Employee ID" dataDxfId="216"/>
    <tableColumn id="2" name="Name" dataDxfId="215"/>
    <tableColumn id="3" name="Department" dataDxfId="214"/>
    <tableColumn id="4" name="Country" dataDxfId="213"/>
    <tableColumn id="5" name="Salary by Department" dataDxfId="212"/>
    <tableColumn id="6" name="Salary by Country" dataDxfId="211"/>
    <tableColumn id="7" name="Gender" dataDxfId="210"/>
    <tableColumn id="11" name="Email id" dataDxfId="209"/>
    <tableColumn id="12" name="Performance Rating" dataDxfId="208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9" name="Table10_2" displayName="Table10_2" ref="A1:I100" tableType="queryTable" totalsRowShown="0">
  <autoFilter ref="A1:I100"/>
  <tableColumns count="9">
    <tableColumn id="19" uniqueName="19" name="Employee ID" queryTableFieldId="1" dataDxfId="207"/>
    <tableColumn id="20" uniqueName="20" name="Name" queryTableFieldId="2" dataDxfId="206"/>
    <tableColumn id="21" uniqueName="21" name="Department" queryTableFieldId="3" dataDxfId="205"/>
    <tableColumn id="22" uniqueName="22" name="Country" queryTableFieldId="4" dataDxfId="204"/>
    <tableColumn id="23" uniqueName="23" name="Salary by Department" queryTableFieldId="5" dataDxfId="203"/>
    <tableColumn id="24" uniqueName="24" name="Salary by Country" queryTableFieldId="6" dataDxfId="202"/>
    <tableColumn id="25" uniqueName="25" name="Gender" queryTableFieldId="7" dataDxfId="201"/>
    <tableColumn id="26" uniqueName="26" name="Performance Rating" queryTableFieldId="8" dataDxfId="200"/>
    <tableColumn id="27" uniqueName="27" name="Email id" queryTableFieldId="9" dataDxfId="19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L151" totalsRowShown="0" headerRowDxfId="198" headerRowBorderDxfId="197" tableBorderDxfId="196">
  <autoFilter ref="A1:L151"/>
  <tableColumns count="12">
    <tableColumn id="1" name="Employee ID"/>
    <tableColumn id="2" name="Name"/>
    <tableColumn id="14" name="Text to Column"/>
    <tableColumn id="3" name="Department"/>
    <tableColumn id="4" name="Country"/>
    <tableColumn id="5" name="Salary" dataDxfId="195"/>
    <tableColumn id="6" name="Date of Joining" dataDxfId="194"/>
    <tableColumn id="7" name="Performance Rating"/>
    <tableColumn id="8" name="Gender"/>
    <tableColumn id="9" name="Email"/>
    <tableColumn id="10" name="Flash Fill time" dataDxfId="193"/>
    <tableColumn id="11" name="TRIM" dataDxfId="192">
      <calculatedColumnFormula>TRIM(D2)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313" displayName="Table1313" ref="A1:H151" totalsRowShown="0" headerRowDxfId="191" dataDxfId="189" headerRowBorderDxfId="190" tableBorderDxfId="188">
  <autoFilter ref="A1:H151"/>
  <tableColumns count="8">
    <tableColumn id="1" name="Employee ID" dataDxfId="187"/>
    <tableColumn id="2" name="Name" dataDxfId="186"/>
    <tableColumn id="3" name="Department" dataDxfId="185"/>
    <tableColumn id="4" name="Country" dataDxfId="184"/>
    <tableColumn id="5" name="Salary" dataDxfId="183" totalsRowDxfId="182"/>
    <tableColumn id="6" name="Performance Rating" dataDxfId="181" totalsRowDxfId="180"/>
    <tableColumn id="7" name="Gender" dataDxfId="179"/>
    <tableColumn id="8" name="Email" dataDxfId="178"/>
  </tableColumns>
  <tableStyleInfo name="TableStyleMedium24" showFirstColumn="0" showLastColumn="0" showRowStripes="0" showColumnStripes="1"/>
</table>
</file>

<file path=xl/tables/table13.xml><?xml version="1.0" encoding="utf-8"?>
<table xmlns="http://schemas.openxmlformats.org/spreadsheetml/2006/main" id="13" name="Table1014" displayName="Table1014" ref="A1:I100" totalsRowShown="0" headerRowDxfId="177" dataDxfId="176">
  <autoFilter ref="A1:I100"/>
  <tableColumns count="9">
    <tableColumn id="1" name="Employee ID" dataDxfId="175"/>
    <tableColumn id="2" name="Name" dataDxfId="174"/>
    <tableColumn id="3" name="Department" dataDxfId="173"/>
    <tableColumn id="4" name="Country" dataDxfId="172"/>
    <tableColumn id="5" name="Salary by Department" dataDxfId="171"/>
    <tableColumn id="6" name="Salary by Country" dataDxfId="170"/>
    <tableColumn id="7" name="Gender" dataDxfId="169"/>
    <tableColumn id="11" name="Email id" dataDxfId="168"/>
    <tableColumn id="12" name="Performance Rating" dataDxfId="167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K3:N16" totalsRowShown="0" headerRowDxfId="166" dataDxfId="164" headerRowBorderDxfId="165" tableBorderDxfId="163" totalsRowBorderDxfId="162">
  <autoFilter ref="K3:N16"/>
  <tableColumns count="4">
    <tableColumn id="1" name="Salary by Department" dataDxfId="161"/>
    <tableColumn id="2" name="Value1" dataDxfId="160"/>
    <tableColumn id="3" name="Salary by Country" dataDxfId="159"/>
    <tableColumn id="4" name="Value2" dataDxfId="15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7" name="Table10141618" displayName="Table10141618" ref="A1:I100" totalsRowShown="0" headerRowDxfId="157" dataDxfId="156">
  <autoFilter ref="A1:I100">
    <filterColumn colId="8">
      <filters>
        <filter val="2"/>
      </filters>
    </filterColumn>
  </autoFilter>
  <sortState ref="A2:I100">
    <sortCondition descending="1" ref="E2:E100"/>
    <sortCondition descending="1" ref="A2:A100"/>
  </sortState>
  <tableColumns count="9">
    <tableColumn id="1" name="Employee ID" dataDxfId="155"/>
    <tableColumn id="2" name="Name" dataDxfId="154"/>
    <tableColumn id="3" name="Department" dataDxfId="153"/>
    <tableColumn id="4" name="Country" dataDxfId="152"/>
    <tableColumn id="5" name="Salary by Department" dataDxfId="151"/>
    <tableColumn id="6" name="Salary by Country" dataDxfId="150"/>
    <tableColumn id="7" name="Gender" dataDxfId="149"/>
    <tableColumn id="11" name="Email id" dataDxfId="148"/>
    <tableColumn id="12" name="Performance Rating" dataDxfId="147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id="15" name="Table15" displayName="Table15" ref="A1:C6" totalsRowShown="0" tableBorderDxfId="146">
  <autoFilter ref="A1:C6"/>
  <tableColumns count="3">
    <tableColumn id="1" name="Findings" dataDxfId="145"/>
    <tableColumn id="2" name="Reference" dataDxfId="144"/>
    <tableColumn id="3" name="Result" dataDxfId="143"/>
  </tableColumns>
  <tableStyleInfo name="TableStyleMedium11" showFirstColumn="0" showLastColumn="0" showRowStripes="1" showColumnStripes="0"/>
</table>
</file>

<file path=xl/tables/table17.xml><?xml version="1.0" encoding="utf-8"?>
<table xmlns="http://schemas.openxmlformats.org/spreadsheetml/2006/main" id="16" name="Table1014161817" displayName="Table1014161817" ref="A1:I100" totalsRowShown="0" headerRowDxfId="142" dataDxfId="141">
  <autoFilter ref="A1:I100"/>
  <tableColumns count="9">
    <tableColumn id="1" name="Employee ID" dataDxfId="140"/>
    <tableColumn id="2" name="Name" dataDxfId="139"/>
    <tableColumn id="3" name="Department" dataDxfId="138"/>
    <tableColumn id="4" name="Country" dataDxfId="137"/>
    <tableColumn id="5" name="Salary by Department" dataDxfId="136"/>
    <tableColumn id="6" name="Salary by Country" dataDxfId="135"/>
    <tableColumn id="7" name="Gender" dataDxfId="134"/>
    <tableColumn id="11" name="Email id" dataDxfId="133"/>
    <tableColumn id="12" name="Performance Rating" dataDxfId="132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G100" totalsRowShown="0">
  <autoFilter ref="A1:G100"/>
  <tableColumns count="7">
    <tableColumn id="1" name="Emp_ID"/>
    <tableColumn id="2" name="Name">
      <calculatedColumnFormula>VLOOKUP(A2,Table1014161817[],2,0)</calculatedColumnFormula>
    </tableColumn>
    <tableColumn id="3" name="Country">
      <calculatedColumnFormula>VLOOKUP(A2,Table1014161817[],4,0)</calculatedColumnFormula>
    </tableColumn>
    <tableColumn id="4" name="Salary by Department">
      <calculatedColumnFormula>VLOOKUP($A2,Table1014161817[],5,0)</calculatedColumnFormula>
    </tableColumn>
    <tableColumn id="5" name="Salary by Country">
      <calculatedColumnFormula>VLOOKUP($A2,Table1014161817[],6,0)</calculatedColumnFormula>
    </tableColumn>
    <tableColumn id="6" name="Gender">
      <calculatedColumnFormula>VLOOKUP($A2,Table1014161817[],7,0)</calculatedColumnFormula>
    </tableColumn>
    <tableColumn id="7" name="Performance Rating" dataDxfId="0">
      <calculatedColumnFormula>VLOOKUP($A2,Table1014161817[],9,0)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4.5" x14ac:dyDescent="0.35"/>
  <cols>
    <col min="6" max="6" width="17.81640625" bestFit="1" customWidth="1"/>
  </cols>
  <sheetData>
    <row r="1" spans="1:9" x14ac:dyDescent="0.35">
      <c r="A1" s="4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131" priority="5">
      <formula>LEN(TRIM(B1))=0</formula>
    </cfRule>
    <cfRule type="containsBlanks" dxfId="130" priority="6">
      <formula>LEN(TRIM(B1))=0</formula>
    </cfRule>
  </conditionalFormatting>
  <conditionalFormatting sqref="H1:H1048576">
    <cfRule type="containsText" dxfId="129" priority="1" operator="containsText" text="unknown">
      <formula>NOT(ISERROR(SEARCH("unknown",H1)))</formula>
    </cfRule>
    <cfRule type="containsText" dxfId="128" priority="2" operator="containsText" text="unknown">
      <formula>NOT(ISERROR(SEARCH("unknown",H1)))</formula>
    </cfRule>
    <cfRule type="duplicateValues" dxfId="127" priority="4"/>
  </conditionalFormatting>
  <conditionalFormatting sqref="K10">
    <cfRule type="containsText" dxfId="126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6"/>
  <sheetViews>
    <sheetView workbookViewId="0">
      <selection activeCell="B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52.26953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 s="24" t="s">
        <v>299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23" t="s">
        <v>300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25" t="s">
        <v>302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26" t="s">
        <v>303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27" t="s">
        <v>304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29" t="s">
        <v>301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28" t="s">
        <v>182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0" t="s">
        <v>305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t="s">
        <v>306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t="s">
        <v>307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E152"/>
      <c r="F152"/>
    </row>
    <row r="157" spans="1:8" x14ac:dyDescent="0.35"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357" spans="5:6" x14ac:dyDescent="0.35">
      <c r="E357"/>
      <c r="F357"/>
    </row>
    <row r="358" spans="5:6" x14ac:dyDescent="0.35">
      <c r="E358"/>
      <c r="F358"/>
    </row>
    <row r="1048576" spans="5:5" x14ac:dyDescent="0.35">
      <c r="E1048576" s="16">
        <f>COUNT(E3:E1048575)</f>
        <v>141</v>
      </c>
    </row>
  </sheetData>
  <conditionalFormatting sqref="B1:B151 B359:B1048576">
    <cfRule type="containsBlanks" dxfId="125" priority="19">
      <formula>LEN(TRIM(B1))=0</formula>
    </cfRule>
    <cfRule type="containsBlanks" dxfId="124" priority="20">
      <formula>LEN(TRIM(B1))=0</formula>
    </cfRule>
    <cfRule type="timePeriod" dxfId="123" priority="24" timePeriod="yesterday">
      <formula>FLOOR(B1,1)=TODAY()-1</formula>
    </cfRule>
    <cfRule type="containsBlanks" dxfId="122" priority="25">
      <formula>LEN(TRIM(B1))=0</formula>
    </cfRule>
  </conditionalFormatting>
  <conditionalFormatting sqref="C1:C151 C359:C1048576">
    <cfRule type="containsBlanks" dxfId="121" priority="22">
      <formula>LEN(TRIM(C1))=0</formula>
    </cfRule>
    <cfRule type="containsBlanks" dxfId="120" priority="23">
      <formula>LEN(TRIM(C1))=0</formula>
    </cfRule>
  </conditionalFormatting>
  <conditionalFormatting sqref="D1:D151 D359:D1048576">
    <cfRule type="containsBlanks" dxfId="119" priority="21">
      <formula>LEN(TRIM(D1))=0</formula>
    </cfRule>
  </conditionalFormatting>
  <conditionalFormatting sqref="E1:E151 E359:E1048576">
    <cfRule type="containsText" dxfId="118" priority="13" operator="containsText" text="N/A">
      <formula>NOT(ISERROR(SEARCH("N/A",E1)))</formula>
    </cfRule>
    <cfRule type="containsBlanks" dxfId="117" priority="18">
      <formula>LEN(TRIM(E1))=0</formula>
    </cfRule>
  </conditionalFormatting>
  <conditionalFormatting sqref="F1:F151 F359:F1048576">
    <cfRule type="containsBlanks" dxfId="116" priority="17">
      <formula>LEN(TRIM(F1))=0</formula>
    </cfRule>
  </conditionalFormatting>
  <conditionalFormatting sqref="G1:G151 G359:G1048576">
    <cfRule type="containsText" dxfId="115" priority="4" operator="containsText" text="other">
      <formula>NOT(ISERROR(SEARCH("other",G1)))</formula>
    </cfRule>
    <cfRule type="containsText" dxfId="114" priority="5" operator="containsText" text="other">
      <formula>NOT(ISERROR(SEARCH("other",G1)))</formula>
    </cfRule>
    <cfRule type="containsText" dxfId="113" priority="6" operator="containsText" text="others">
      <formula>NOT(ISERROR(SEARCH("others",G1)))</formula>
    </cfRule>
    <cfRule type="containsText" dxfId="112" priority="7" operator="containsText" text="others">
      <formula>NOT(ISERROR(SEARCH("others",G1)))</formula>
    </cfRule>
    <cfRule type="containsText" dxfId="111" priority="8" operator="containsText" text="others">
      <formula>NOT(ISERROR(SEARCH("others",G1)))</formula>
    </cfRule>
    <cfRule type="containsText" dxfId="110" priority="9" operator="containsText" text="female">
      <formula>NOT(ISERROR(SEARCH("female",G1)))</formula>
    </cfRule>
    <cfRule type="containsText" dxfId="109" priority="10" operator="containsText" text="male">
      <formula>NOT(ISERROR(SEARCH("male",G1)))</formula>
    </cfRule>
    <cfRule type="containsText" dxfId="108" priority="11" operator="containsText" text="unknown">
      <formula>NOT(ISERROR(SEARCH("unknown",G1)))</formula>
    </cfRule>
    <cfRule type="cellIs" dxfId="107" priority="12" operator="greaterThan">
      <formula>"unknown"</formula>
    </cfRule>
    <cfRule type="containsBlanks" dxfId="106" priority="16">
      <formula>LEN(TRIM(G1))=0</formula>
    </cfRule>
  </conditionalFormatting>
  <conditionalFormatting sqref="H1:H151 H359:H1048576">
    <cfRule type="containsText" dxfId="105" priority="2" operator="containsText" text="invalid_email">
      <formula>NOT(ISERROR(SEARCH("invalid_email",H1)))</formula>
    </cfRule>
    <cfRule type="containsText" dxfId="104" priority="3" operator="containsText" text="invalid_email">
      <formula>NOT(ISERROR(SEARCH("invalid_email",H1)))</formula>
    </cfRule>
    <cfRule type="containsBlanks" dxfId="103" priority="14">
      <formula>LEN(TRIM(H1))=0</formula>
    </cfRule>
    <cfRule type="containsBlanks" dxfId="102" priority="15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workbookViewId="0">
      <selection activeCell="F15" sqref="F15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15.08984375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/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101" priority="18">
      <formula>LEN(TRIM(B1))=0</formula>
    </cfRule>
    <cfRule type="containsBlanks" dxfId="100" priority="19">
      <formula>LEN(TRIM(B1))=0</formula>
    </cfRule>
    <cfRule type="timePeriod" dxfId="99" priority="23" timePeriod="yesterday">
      <formula>FLOOR(B1,1)=TODAY()-1</formula>
    </cfRule>
    <cfRule type="containsBlanks" dxfId="98" priority="24">
      <formula>LEN(TRIM(B1))=0</formula>
    </cfRule>
  </conditionalFormatting>
  <conditionalFormatting sqref="C1:C151 C357:C1048576">
    <cfRule type="containsBlanks" dxfId="97" priority="21">
      <formula>LEN(TRIM(C1))=0</formula>
    </cfRule>
    <cfRule type="containsBlanks" dxfId="96" priority="22">
      <formula>LEN(TRIM(C1))=0</formula>
    </cfRule>
  </conditionalFormatting>
  <conditionalFormatting sqref="D1:D151 D357:D1048576">
    <cfRule type="containsBlanks" dxfId="95" priority="20">
      <formula>LEN(TRIM(D1))=0</formula>
    </cfRule>
  </conditionalFormatting>
  <conditionalFormatting sqref="E1:E151 E357:E1048576">
    <cfRule type="containsText" dxfId="94" priority="12" operator="containsText" text="N/A">
      <formula>NOT(ISERROR(SEARCH("N/A",E1)))</formula>
    </cfRule>
    <cfRule type="containsBlanks" dxfId="93" priority="17">
      <formula>LEN(TRIM(E1))=0</formula>
    </cfRule>
  </conditionalFormatting>
  <conditionalFormatting sqref="F1:F151 F357:F1048576">
    <cfRule type="containsBlanks" dxfId="92" priority="16">
      <formula>LEN(TRIM(F1))=0</formula>
    </cfRule>
  </conditionalFormatting>
  <conditionalFormatting sqref="G1:G151 G357:G1048576">
    <cfRule type="containsText" dxfId="91" priority="3" operator="containsText" text="other">
      <formula>NOT(ISERROR(SEARCH("other",G1)))</formula>
    </cfRule>
    <cfRule type="containsText" dxfId="90" priority="4" operator="containsText" text="other">
      <formula>NOT(ISERROR(SEARCH("other",G1)))</formula>
    </cfRule>
    <cfRule type="containsText" dxfId="89" priority="5" operator="containsText" text="others">
      <formula>NOT(ISERROR(SEARCH("others",G1)))</formula>
    </cfRule>
    <cfRule type="containsText" dxfId="88" priority="6" operator="containsText" text="others">
      <formula>NOT(ISERROR(SEARCH("others",G1)))</formula>
    </cfRule>
    <cfRule type="containsText" dxfId="87" priority="7" operator="containsText" text="others">
      <formula>NOT(ISERROR(SEARCH("others",G1)))</formula>
    </cfRule>
    <cfRule type="containsText" dxfId="86" priority="8" operator="containsText" text="female">
      <formula>NOT(ISERROR(SEARCH("female",G1)))</formula>
    </cfRule>
    <cfRule type="containsText" dxfId="85" priority="9" operator="containsText" text="male">
      <formula>NOT(ISERROR(SEARCH("male",G1)))</formula>
    </cfRule>
    <cfRule type="containsText" dxfId="84" priority="10" operator="containsText" text="unknown">
      <formula>NOT(ISERROR(SEARCH("unknown",G1)))</formula>
    </cfRule>
    <cfRule type="cellIs" dxfId="83" priority="11" operator="greaterThan">
      <formula>"unknown"</formula>
    </cfRule>
    <cfRule type="containsBlanks" dxfId="82" priority="15">
      <formula>LEN(TRIM(G1))=0</formula>
    </cfRule>
  </conditionalFormatting>
  <conditionalFormatting sqref="H1:H151 H357:H1048576">
    <cfRule type="containsText" dxfId="81" priority="1" operator="containsText" text="invalid_email">
      <formula>NOT(ISERROR(SEARCH("invalid_email",H1)))</formula>
    </cfRule>
    <cfRule type="containsText" dxfId="80" priority="2" operator="containsText" text="invalid_email">
      <formula>NOT(ISERROR(SEARCH("invalid_email",H1)))</formula>
    </cfRule>
    <cfRule type="containsBlanks" dxfId="79" priority="13">
      <formula>LEN(TRIM(H1))=0</formula>
    </cfRule>
    <cfRule type="containsBlanks" dxfId="78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D13" workbookViewId="0">
      <selection activeCell="K19" sqref="K19:K2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8.90625" bestFit="1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321</v>
      </c>
      <c r="J1" s="45" t="s">
        <v>317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s="44" t="s">
        <v>318</v>
      </c>
    </row>
    <row r="12" spans="1:12" ht="15" thickBot="1" x14ac:dyDescent="0.4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>
        <v>1</v>
      </c>
      <c r="J13" s="42" t="s">
        <v>315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J14" t="s">
        <v>316</v>
      </c>
      <c r="K14">
        <v>1774594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J15" t="s">
        <v>319</v>
      </c>
      <c r="K15">
        <f>SUMIF(D3:D151,"Germany",E3:E151)</f>
        <v>1449741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J16" t="s">
        <v>320</v>
      </c>
      <c r="K16">
        <f>SUMIF(D2:D151,"UK",E2:E151)</f>
        <v>1487345</v>
      </c>
    </row>
    <row r="17" spans="1:11" ht="15" thickBot="1" x14ac:dyDescent="0.4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11" ht="15" thickBot="1" x14ac:dyDescent="0.4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>
        <v>2</v>
      </c>
      <c r="J18" s="42" t="s">
        <v>322</v>
      </c>
    </row>
    <row r="19" spans="1:11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J19" t="s">
        <v>323</v>
      </c>
      <c r="K19" s="16">
        <f ca="1">AVERAGEIF(G1:G151,"Male",E2:E151)</f>
        <v>67637.06451612903</v>
      </c>
    </row>
    <row r="20" spans="1:11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J20" t="s">
        <v>324</v>
      </c>
      <c r="K20" s="16">
        <f>AVERAGEIF(G2:G151,"Female",E2:E151)</f>
        <v>63132.36363636364</v>
      </c>
    </row>
    <row r="21" spans="1:11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J21" t="s">
        <v>325</v>
      </c>
      <c r="K21" s="16">
        <f>AVERAGEIF(G2:G151,"Other",E2:E151)</f>
        <v>68424.870967741939</v>
      </c>
    </row>
    <row r="22" spans="1:11" ht="15" thickBot="1" x14ac:dyDescent="0.4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11" ht="15" thickBot="1" x14ac:dyDescent="0.4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>
        <v>3</v>
      </c>
      <c r="J23" s="42" t="s">
        <v>326</v>
      </c>
    </row>
    <row r="24" spans="1:11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J24" t="s">
        <v>327</v>
      </c>
      <c r="K24">
        <f>COUNTIF(C2:C151,"HR")</f>
        <v>24</v>
      </c>
    </row>
    <row r="25" spans="1:11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J25" t="s">
        <v>328</v>
      </c>
      <c r="K25">
        <f>COUNTIF(C2:C151,"IT")</f>
        <v>25</v>
      </c>
    </row>
    <row r="26" spans="1:11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J26" t="s">
        <v>329</v>
      </c>
      <c r="K26">
        <f>COUNTIF(C2:C151,"Sales")</f>
        <v>26</v>
      </c>
    </row>
    <row r="27" spans="1:11" ht="15" thickBot="1" x14ac:dyDescent="0.4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11" ht="15" thickBot="1" x14ac:dyDescent="0.4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>
        <v>4</v>
      </c>
      <c r="J28" s="42" t="s">
        <v>330</v>
      </c>
    </row>
    <row r="29" spans="1:11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J29" t="s">
        <v>331</v>
      </c>
      <c r="K29" s="43" t="str">
        <f>IF(E14&gt;90000,"RICH","MEDIUM")</f>
        <v>RICH</v>
      </c>
    </row>
    <row r="30" spans="1:11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J30" t="s">
        <v>332</v>
      </c>
      <c r="K30" s="43" t="str">
        <f>IF(E12&gt;90000,"RICH",IF(E12&gt;50000,"MEDIUM","POOR"))</f>
        <v>MEDIUM</v>
      </c>
    </row>
    <row r="31" spans="1:11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J31" t="s">
        <v>333</v>
      </c>
      <c r="K31" s="43" t="str">
        <f>IF(E9&gt;20000,"POOR",IF(E9&gt;50000,"MEDIUM","RICH"))</f>
        <v>POOR</v>
      </c>
    </row>
    <row r="32" spans="1:11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77" priority="18">
      <formula>LEN(TRIM(B1))=0</formula>
    </cfRule>
    <cfRule type="containsBlanks" dxfId="76" priority="19">
      <formula>LEN(TRIM(B1))=0</formula>
    </cfRule>
    <cfRule type="timePeriod" dxfId="75" priority="23" timePeriod="yesterday">
      <formula>FLOOR(B1,1)=TODAY()-1</formula>
    </cfRule>
    <cfRule type="containsBlanks" dxfId="74" priority="24">
      <formula>LEN(TRIM(B1))=0</formula>
    </cfRule>
  </conditionalFormatting>
  <conditionalFormatting sqref="C1:C151 C357:C1048576">
    <cfRule type="containsBlanks" dxfId="73" priority="21">
      <formula>LEN(TRIM(C1))=0</formula>
    </cfRule>
    <cfRule type="containsBlanks" dxfId="72" priority="22">
      <formula>LEN(TRIM(C1))=0</formula>
    </cfRule>
  </conditionalFormatting>
  <conditionalFormatting sqref="D1:D151 D357:D1048576">
    <cfRule type="containsBlanks" dxfId="71" priority="20">
      <formula>LEN(TRIM(D1))=0</formula>
    </cfRule>
  </conditionalFormatting>
  <conditionalFormatting sqref="E1:E151 E357:E1048576">
    <cfRule type="containsText" dxfId="70" priority="12" operator="containsText" text="N/A">
      <formula>NOT(ISERROR(SEARCH("N/A",E1)))</formula>
    </cfRule>
    <cfRule type="containsBlanks" dxfId="69" priority="17">
      <formula>LEN(TRIM(E1))=0</formula>
    </cfRule>
  </conditionalFormatting>
  <conditionalFormatting sqref="F1:F151 F357:F1048576">
    <cfRule type="containsBlanks" dxfId="68" priority="16">
      <formula>LEN(TRIM(F1))=0</formula>
    </cfRule>
  </conditionalFormatting>
  <conditionalFormatting sqref="G1:G151 G357:G1048576">
    <cfRule type="containsText" dxfId="67" priority="3" operator="containsText" text="other">
      <formula>NOT(ISERROR(SEARCH("other",G1)))</formula>
    </cfRule>
    <cfRule type="containsText" dxfId="66" priority="4" operator="containsText" text="other">
      <formula>NOT(ISERROR(SEARCH("other",G1)))</formula>
    </cfRule>
    <cfRule type="containsText" dxfId="65" priority="5" operator="containsText" text="others">
      <formula>NOT(ISERROR(SEARCH("others",G1)))</formula>
    </cfRule>
    <cfRule type="containsText" dxfId="64" priority="6" operator="containsText" text="others">
      <formula>NOT(ISERROR(SEARCH("others",G1)))</formula>
    </cfRule>
    <cfRule type="containsText" dxfId="63" priority="7" operator="containsText" text="others">
      <formula>NOT(ISERROR(SEARCH("others",G1)))</formula>
    </cfRule>
    <cfRule type="containsText" dxfId="62" priority="8" operator="containsText" text="female">
      <formula>NOT(ISERROR(SEARCH("female",G1)))</formula>
    </cfRule>
    <cfRule type="containsText" dxfId="61" priority="9" operator="containsText" text="male">
      <formula>NOT(ISERROR(SEARCH("male",G1)))</formula>
    </cfRule>
    <cfRule type="containsText" dxfId="60" priority="10" operator="containsText" text="unknown">
      <formula>NOT(ISERROR(SEARCH("unknown",G1)))</formula>
    </cfRule>
    <cfRule type="cellIs" dxfId="59" priority="11" operator="greaterThan">
      <formula>"unknown"</formula>
    </cfRule>
    <cfRule type="containsBlanks" dxfId="58" priority="15">
      <formula>LEN(TRIM(G1))=0</formula>
    </cfRule>
  </conditionalFormatting>
  <conditionalFormatting sqref="H1:H151 H357:H1048576">
    <cfRule type="containsText" dxfId="57" priority="1" operator="containsText" text="invalid_email">
      <formula>NOT(ISERROR(SEARCH("invalid_email",H1)))</formula>
    </cfRule>
    <cfRule type="containsText" dxfId="56" priority="2" operator="containsText" text="invalid_email">
      <formula>NOT(ISERROR(SEARCH("invalid_email",H1)))</formula>
    </cfRule>
    <cfRule type="containsBlanks" dxfId="55" priority="13">
      <formula>LEN(TRIM(H1))=0</formula>
    </cfRule>
    <cfRule type="containsBlanks" dxfId="54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1048574"/>
  <sheetViews>
    <sheetView workbookViewId="0">
      <selection activeCell="I1" sqref="I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9" max="9" width="13.81640625" bestFit="1" customWidth="1"/>
    <col min="10" max="10" width="15.36328125" bestFit="1" customWidth="1"/>
    <col min="11" max="11" width="14.26953125" bestFit="1" customWidth="1"/>
    <col min="12" max="12" width="14.81640625" bestFit="1" customWidth="1"/>
    <col min="13" max="13" width="15.54296875" bestFit="1" customWidth="1"/>
    <col min="14" max="14" width="12.08984375" bestFit="1" customWidth="1"/>
  </cols>
  <sheetData>
    <row r="1" spans="1:14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334</v>
      </c>
      <c r="J1" s="18" t="s">
        <v>335</v>
      </c>
      <c r="K1" s="18" t="s">
        <v>336</v>
      </c>
      <c r="L1" s="18" t="s">
        <v>337</v>
      </c>
      <c r="M1" s="18" t="s">
        <v>338</v>
      </c>
      <c r="N1" s="18" t="s">
        <v>339</v>
      </c>
    </row>
    <row r="2" spans="1:14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  <c r="I2" t="str">
        <f t="shared" ref="I2:I65" si="0">LEFT(B2,4)</f>
        <v/>
      </c>
      <c r="J2" t="str">
        <f t="shared" ref="J2:J65" si="1">RIGHT(B2,4)</f>
        <v/>
      </c>
      <c r="K2" t="str">
        <f t="shared" ref="K2:K65" si="2">UPPER(B2)</f>
        <v/>
      </c>
      <c r="L2" s="46" t="str">
        <f t="shared" ref="L2:L65" si="3">LOWER(B2)</f>
        <v/>
      </c>
      <c r="M2" s="46" t="str">
        <f t="shared" ref="M2:M65" si="4">PROPER(B2)</f>
        <v/>
      </c>
      <c r="N2" s="46" t="str">
        <f t="shared" ref="N2:N65" si="5">MID(A2,4,4)</f>
        <v>1000</v>
      </c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I3" t="str">
        <f t="shared" si="0"/>
        <v xml:space="preserve">Eve </v>
      </c>
      <c r="J3" t="str">
        <f t="shared" si="1"/>
        <v>dams</v>
      </c>
      <c r="K3" t="str">
        <f t="shared" si="2"/>
        <v>EVE ADAMS</v>
      </c>
      <c r="L3" s="46" t="str">
        <f t="shared" si="3"/>
        <v>eve adams</v>
      </c>
      <c r="M3" s="46" t="str">
        <f t="shared" si="4"/>
        <v>Eve Adams</v>
      </c>
      <c r="N3" s="46" t="str">
        <f t="shared" si="5"/>
        <v>1001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I4" t="str">
        <f t="shared" si="0"/>
        <v>Alic</v>
      </c>
      <c r="J4" t="str">
        <f t="shared" si="1"/>
        <v>rown</v>
      </c>
      <c r="K4" t="str">
        <f t="shared" si="2"/>
        <v>ALICE BROWN</v>
      </c>
      <c r="L4" s="46" t="str">
        <f t="shared" si="3"/>
        <v>alice brown</v>
      </c>
      <c r="M4" s="46" t="str">
        <f t="shared" si="4"/>
        <v>Alice Brown</v>
      </c>
      <c r="N4" s="46" t="str">
        <f t="shared" si="5"/>
        <v>1002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I5" t="str">
        <f t="shared" si="0"/>
        <v>John</v>
      </c>
      <c r="J5" t="str">
        <f t="shared" si="1"/>
        <v xml:space="preserve"> Doe</v>
      </c>
      <c r="K5" t="str">
        <f t="shared" si="2"/>
        <v>JOHN DOE</v>
      </c>
      <c r="L5" s="46" t="str">
        <f t="shared" si="3"/>
        <v>john doe</v>
      </c>
      <c r="M5" s="46" t="str">
        <f t="shared" si="4"/>
        <v>John Doe</v>
      </c>
      <c r="N5" s="46" t="str">
        <f t="shared" si="5"/>
        <v>1003</v>
      </c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I6" t="str">
        <f t="shared" si="0"/>
        <v>Jane</v>
      </c>
      <c r="J6" t="str">
        <f t="shared" si="1"/>
        <v>mith</v>
      </c>
      <c r="K6" t="str">
        <f t="shared" si="2"/>
        <v>JANE SMITH</v>
      </c>
      <c r="L6" s="46" t="str">
        <f t="shared" si="3"/>
        <v>jane smith</v>
      </c>
      <c r="M6" s="46" t="str">
        <f t="shared" si="4"/>
        <v>Jane Smith</v>
      </c>
      <c r="N6" s="46" t="str">
        <f t="shared" si="5"/>
        <v>1004</v>
      </c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I7" t="str">
        <f t="shared" si="0"/>
        <v>Alic</v>
      </c>
      <c r="J7" t="str">
        <f t="shared" si="1"/>
        <v>rown</v>
      </c>
      <c r="K7" t="str">
        <f t="shared" si="2"/>
        <v>ALICE BROWN</v>
      </c>
      <c r="L7" s="46" t="str">
        <f t="shared" si="3"/>
        <v>alice brown</v>
      </c>
      <c r="M7" s="46" t="str">
        <f t="shared" si="4"/>
        <v>Alice Brown</v>
      </c>
      <c r="N7" s="46" t="str">
        <f t="shared" si="5"/>
        <v>1005</v>
      </c>
    </row>
    <row r="8" spans="1:14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I8" t="str">
        <f t="shared" si="0"/>
        <v xml:space="preserve">Sam </v>
      </c>
      <c r="J8" t="str">
        <f t="shared" si="1"/>
        <v>lson</v>
      </c>
      <c r="K8" t="str">
        <f t="shared" si="2"/>
        <v>SAM WILSON</v>
      </c>
      <c r="L8" s="46" t="str">
        <f t="shared" si="3"/>
        <v>sam wilson</v>
      </c>
      <c r="M8" s="46" t="str">
        <f t="shared" si="4"/>
        <v>Sam Wilson</v>
      </c>
      <c r="N8" s="46" t="str">
        <f t="shared" si="5"/>
        <v>1006</v>
      </c>
    </row>
    <row r="9" spans="1:14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I9" t="str">
        <f t="shared" si="0"/>
        <v>Chri</v>
      </c>
      <c r="J9" t="str">
        <f t="shared" si="1"/>
        <v xml:space="preserve"> Lee</v>
      </c>
      <c r="K9" t="str">
        <f t="shared" si="2"/>
        <v>CHRIS LEE</v>
      </c>
      <c r="L9" s="46" t="str">
        <f t="shared" si="3"/>
        <v>chris lee</v>
      </c>
      <c r="M9" s="46" t="str">
        <f t="shared" si="4"/>
        <v>Chris Lee</v>
      </c>
      <c r="N9" s="46" t="str">
        <f t="shared" si="5"/>
        <v>1007</v>
      </c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I10" t="str">
        <f t="shared" si="0"/>
        <v>Alic</v>
      </c>
      <c r="J10" t="str">
        <f t="shared" si="1"/>
        <v>rown</v>
      </c>
      <c r="K10" t="str">
        <f t="shared" si="2"/>
        <v>ALICE BROWN</v>
      </c>
      <c r="L10" s="46" t="str">
        <f t="shared" si="3"/>
        <v>alice brown</v>
      </c>
      <c r="M10" s="46" t="str">
        <f t="shared" si="4"/>
        <v>Alice Brown</v>
      </c>
      <c r="N10" s="46" t="str">
        <f t="shared" si="5"/>
        <v>1008</v>
      </c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I11" t="str">
        <f t="shared" si="0"/>
        <v>Chri</v>
      </c>
      <c r="J11" t="str">
        <f t="shared" si="1"/>
        <v xml:space="preserve"> Lee</v>
      </c>
      <c r="K11" t="str">
        <f t="shared" si="2"/>
        <v>CHRIS LEE</v>
      </c>
      <c r="L11" s="46" t="str">
        <f t="shared" si="3"/>
        <v>chris lee</v>
      </c>
      <c r="M11" s="46" t="str">
        <f t="shared" si="4"/>
        <v>Chris Lee</v>
      </c>
      <c r="N11" s="46" t="str">
        <f t="shared" si="5"/>
        <v>1009</v>
      </c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  <c r="I12" t="str">
        <f t="shared" si="0"/>
        <v xml:space="preserve">Sam </v>
      </c>
      <c r="J12" t="str">
        <f t="shared" si="1"/>
        <v>lson</v>
      </c>
      <c r="K12" t="str">
        <f t="shared" si="2"/>
        <v>SAM WILSON</v>
      </c>
      <c r="L12" s="46" t="str">
        <f t="shared" si="3"/>
        <v>sam wilson</v>
      </c>
      <c r="M12" s="46" t="str">
        <f t="shared" si="4"/>
        <v>Sam Wilson</v>
      </c>
      <c r="N12" s="46" t="str">
        <f t="shared" si="5"/>
        <v>1010</v>
      </c>
    </row>
    <row r="13" spans="1:14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 t="str">
        <f t="shared" si="0"/>
        <v xml:space="preserve">Sam </v>
      </c>
      <c r="J13" t="str">
        <f t="shared" si="1"/>
        <v>lson</v>
      </c>
      <c r="K13" t="str">
        <f t="shared" si="2"/>
        <v>SAM WILSON</v>
      </c>
      <c r="L13" s="47" t="str">
        <f>LOWER(B13)</f>
        <v>sam wilson</v>
      </c>
      <c r="M13" s="46" t="str">
        <f t="shared" si="4"/>
        <v>Sam Wilson</v>
      </c>
      <c r="N13" s="46" t="str">
        <f t="shared" si="5"/>
        <v>1011</v>
      </c>
    </row>
    <row r="14" spans="1:14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I14" t="str">
        <f t="shared" si="0"/>
        <v xml:space="preserve">Bob </v>
      </c>
      <c r="J14" t="str">
        <f t="shared" si="1"/>
        <v>nson</v>
      </c>
      <c r="K14" t="str">
        <f t="shared" si="2"/>
        <v>BOB JOHNSON</v>
      </c>
      <c r="L14" s="46" t="str">
        <f t="shared" si="3"/>
        <v>bob johnson</v>
      </c>
      <c r="M14" s="46" t="str">
        <f t="shared" si="4"/>
        <v>Bob Johnson</v>
      </c>
      <c r="N14" s="46" t="str">
        <f t="shared" si="5"/>
        <v>1012</v>
      </c>
    </row>
    <row r="15" spans="1:14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I15" t="str">
        <f t="shared" si="0"/>
        <v xml:space="preserve">Sam </v>
      </c>
      <c r="J15" t="str">
        <f t="shared" si="1"/>
        <v>lson</v>
      </c>
      <c r="K15" t="str">
        <f t="shared" si="2"/>
        <v>SAM WILSON</v>
      </c>
      <c r="L15" s="46" t="str">
        <f t="shared" si="3"/>
        <v>sam wilson</v>
      </c>
      <c r="M15" s="46" t="str">
        <f t="shared" si="4"/>
        <v>Sam Wilson</v>
      </c>
      <c r="N15" s="46" t="str">
        <f t="shared" si="5"/>
        <v>1013</v>
      </c>
    </row>
    <row r="16" spans="1:14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I16" t="str">
        <f t="shared" si="0"/>
        <v>Jane</v>
      </c>
      <c r="J16" t="str">
        <f t="shared" si="1"/>
        <v>mith</v>
      </c>
      <c r="K16" t="str">
        <f t="shared" si="2"/>
        <v>JANE SMITH</v>
      </c>
      <c r="L16" s="46" t="str">
        <f t="shared" si="3"/>
        <v>jane smith</v>
      </c>
      <c r="M16" s="46" t="str">
        <f t="shared" si="4"/>
        <v>Jane Smith</v>
      </c>
      <c r="N16" s="46" t="str">
        <f t="shared" si="5"/>
        <v>1014</v>
      </c>
    </row>
    <row r="17" spans="1:14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  <c r="I17" t="str">
        <f t="shared" si="0"/>
        <v/>
      </c>
      <c r="J17" t="str">
        <f t="shared" si="1"/>
        <v/>
      </c>
      <c r="K17" t="str">
        <f t="shared" si="2"/>
        <v/>
      </c>
      <c r="L17" s="46" t="str">
        <f t="shared" si="3"/>
        <v/>
      </c>
      <c r="M17" s="46" t="str">
        <f t="shared" si="4"/>
        <v/>
      </c>
      <c r="N17" s="46" t="str">
        <f t="shared" si="5"/>
        <v>1015</v>
      </c>
    </row>
    <row r="18" spans="1:14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 t="str">
        <f t="shared" si="0"/>
        <v xml:space="preserve">Bob </v>
      </c>
      <c r="J18" t="str">
        <f t="shared" si="1"/>
        <v>nson</v>
      </c>
      <c r="K18" t="str">
        <f t="shared" si="2"/>
        <v>BOB JOHNSON</v>
      </c>
      <c r="L18" s="46" t="str">
        <f t="shared" si="3"/>
        <v>bob johnson</v>
      </c>
      <c r="M18" s="46" t="str">
        <f t="shared" si="4"/>
        <v>Bob Johnson</v>
      </c>
      <c r="N18" s="46" t="str">
        <f t="shared" si="5"/>
        <v>1016</v>
      </c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I19" t="str">
        <f t="shared" si="0"/>
        <v>Jane</v>
      </c>
      <c r="J19" t="str">
        <f t="shared" si="1"/>
        <v>mith</v>
      </c>
      <c r="K19" t="str">
        <f t="shared" si="2"/>
        <v>JANE SMITH</v>
      </c>
      <c r="L19" s="46" t="str">
        <f t="shared" si="3"/>
        <v>jane smith</v>
      </c>
      <c r="M19" s="46" t="str">
        <f t="shared" si="4"/>
        <v>Jane Smith</v>
      </c>
      <c r="N19" s="46" t="str">
        <f t="shared" si="5"/>
        <v>1017</v>
      </c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I20" t="str">
        <f t="shared" si="0"/>
        <v>Alic</v>
      </c>
      <c r="J20" t="str">
        <f t="shared" si="1"/>
        <v>rown</v>
      </c>
      <c r="K20" t="str">
        <f t="shared" si="2"/>
        <v>ALICE BROWN</v>
      </c>
      <c r="L20" s="46" t="str">
        <f t="shared" si="3"/>
        <v>alice brown</v>
      </c>
      <c r="M20" s="46" t="str">
        <f t="shared" si="4"/>
        <v>Alice Brown</v>
      </c>
      <c r="N20" s="46" t="str">
        <f t="shared" si="5"/>
        <v>1018</v>
      </c>
    </row>
    <row r="21" spans="1:14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I21" t="str">
        <f t="shared" si="0"/>
        <v xml:space="preserve">Eve </v>
      </c>
      <c r="J21" t="str">
        <f t="shared" si="1"/>
        <v>dams</v>
      </c>
      <c r="K21" t="str">
        <f t="shared" si="2"/>
        <v>EVE ADAMS</v>
      </c>
      <c r="L21" s="46" t="str">
        <f t="shared" si="3"/>
        <v>eve adams</v>
      </c>
      <c r="M21" s="46" t="str">
        <f t="shared" si="4"/>
        <v>Eve Adams</v>
      </c>
      <c r="N21" s="46" t="str">
        <f t="shared" si="5"/>
        <v>1019</v>
      </c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  <c r="I22" t="str">
        <f t="shared" si="0"/>
        <v>Jane</v>
      </c>
      <c r="J22" t="str">
        <f t="shared" si="1"/>
        <v>mith</v>
      </c>
      <c r="K22" t="str">
        <f t="shared" si="2"/>
        <v>JANE SMITH</v>
      </c>
      <c r="L22" s="46" t="str">
        <f t="shared" si="3"/>
        <v>jane smith</v>
      </c>
      <c r="M22" s="46" t="str">
        <f t="shared" si="4"/>
        <v>Jane Smith</v>
      </c>
      <c r="N22" s="46" t="str">
        <f t="shared" si="5"/>
        <v>1020</v>
      </c>
    </row>
    <row r="23" spans="1:14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 t="str">
        <f t="shared" si="0"/>
        <v>Jane</v>
      </c>
      <c r="J23" t="str">
        <f t="shared" si="1"/>
        <v>mith</v>
      </c>
      <c r="K23" t="str">
        <f t="shared" si="2"/>
        <v>JANE SMITH</v>
      </c>
      <c r="L23" s="46" t="str">
        <f t="shared" si="3"/>
        <v>jane smith</v>
      </c>
      <c r="M23" s="46" t="str">
        <f t="shared" si="4"/>
        <v>Jane Smith</v>
      </c>
      <c r="N23" s="46" t="str">
        <f t="shared" si="5"/>
        <v>1021</v>
      </c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I24" t="str">
        <f t="shared" si="0"/>
        <v xml:space="preserve">Eve </v>
      </c>
      <c r="J24" t="str">
        <f t="shared" si="1"/>
        <v>dams</v>
      </c>
      <c r="K24" t="str">
        <f t="shared" si="2"/>
        <v>EVE ADAMS</v>
      </c>
      <c r="L24" s="46" t="str">
        <f t="shared" si="3"/>
        <v>eve adams</v>
      </c>
      <c r="M24" s="46" t="str">
        <f t="shared" si="4"/>
        <v>Eve Adams</v>
      </c>
      <c r="N24" s="46" t="str">
        <f t="shared" si="5"/>
        <v>1022</v>
      </c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I25" t="str">
        <f t="shared" si="0"/>
        <v>Alic</v>
      </c>
      <c r="J25" t="str">
        <f t="shared" si="1"/>
        <v>rown</v>
      </c>
      <c r="K25" t="str">
        <f t="shared" si="2"/>
        <v>ALICE BROWN</v>
      </c>
      <c r="L25" s="46" t="str">
        <f t="shared" si="3"/>
        <v>alice brown</v>
      </c>
      <c r="M25" s="46" t="str">
        <f t="shared" si="4"/>
        <v>Alice Brown</v>
      </c>
      <c r="N25" s="46" t="str">
        <f t="shared" si="5"/>
        <v>1023</v>
      </c>
    </row>
    <row r="26" spans="1:14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I26" t="str">
        <f t="shared" si="0"/>
        <v xml:space="preserve">Sam </v>
      </c>
      <c r="J26" t="str">
        <f t="shared" si="1"/>
        <v>lson</v>
      </c>
      <c r="K26" t="str">
        <f t="shared" si="2"/>
        <v>SAM WILSON</v>
      </c>
      <c r="L26" s="46" t="str">
        <f t="shared" si="3"/>
        <v>sam wilson</v>
      </c>
      <c r="M26" s="46" t="str">
        <f t="shared" si="4"/>
        <v>Sam Wilson</v>
      </c>
      <c r="N26" s="46" t="str">
        <f t="shared" si="5"/>
        <v>1024</v>
      </c>
    </row>
    <row r="27" spans="1:14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  <c r="I27" t="str">
        <f t="shared" si="0"/>
        <v>Chri</v>
      </c>
      <c r="J27" t="str">
        <f t="shared" si="1"/>
        <v xml:space="preserve"> Lee</v>
      </c>
      <c r="K27" t="str">
        <f t="shared" si="2"/>
        <v>CHRIS LEE</v>
      </c>
      <c r="L27" s="46" t="str">
        <f t="shared" si="3"/>
        <v>chris lee</v>
      </c>
      <c r="M27" s="46" t="str">
        <f t="shared" si="4"/>
        <v>Chris Lee</v>
      </c>
      <c r="N27" s="46" t="str">
        <f t="shared" si="5"/>
        <v>1025</v>
      </c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 t="str">
        <f t="shared" si="0"/>
        <v xml:space="preserve">Eve </v>
      </c>
      <c r="J28" t="str">
        <f t="shared" si="1"/>
        <v>dams</v>
      </c>
      <c r="K28" t="str">
        <f t="shared" si="2"/>
        <v>EVE ADAMS</v>
      </c>
      <c r="L28" s="46" t="str">
        <f t="shared" si="3"/>
        <v>eve adams</v>
      </c>
      <c r="M28" s="46" t="str">
        <f t="shared" si="4"/>
        <v>Eve Adams</v>
      </c>
      <c r="N28" s="46" t="str">
        <f t="shared" si="5"/>
        <v>1026</v>
      </c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I29" t="str">
        <f t="shared" si="0"/>
        <v>Alic</v>
      </c>
      <c r="J29" t="str">
        <f t="shared" si="1"/>
        <v>rown</v>
      </c>
      <c r="K29" t="str">
        <f t="shared" si="2"/>
        <v>ALICE BROWN</v>
      </c>
      <c r="L29" s="46" t="str">
        <f t="shared" si="3"/>
        <v>alice brown</v>
      </c>
      <c r="M29" s="46" t="str">
        <f t="shared" si="4"/>
        <v>Alice Brown</v>
      </c>
      <c r="N29" s="46" t="str">
        <f t="shared" si="5"/>
        <v>1027</v>
      </c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I30" t="str">
        <f t="shared" si="0"/>
        <v>John</v>
      </c>
      <c r="J30" t="str">
        <f t="shared" si="1"/>
        <v xml:space="preserve"> Doe</v>
      </c>
      <c r="K30" t="str">
        <f t="shared" si="2"/>
        <v>JOHN DOE</v>
      </c>
      <c r="L30" s="46" t="str">
        <f t="shared" si="3"/>
        <v>john doe</v>
      </c>
      <c r="M30" s="46" t="str">
        <f t="shared" si="4"/>
        <v>John Doe</v>
      </c>
      <c r="N30" s="46" t="str">
        <f t="shared" si="5"/>
        <v>1028</v>
      </c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I31" t="str">
        <f t="shared" si="0"/>
        <v xml:space="preserve">Bob </v>
      </c>
      <c r="J31" t="str">
        <f t="shared" si="1"/>
        <v>nson</v>
      </c>
      <c r="K31" t="str">
        <f t="shared" si="2"/>
        <v>BOB JOHNSON</v>
      </c>
      <c r="L31" s="46" t="str">
        <f t="shared" si="3"/>
        <v>bob johnson</v>
      </c>
      <c r="M31" s="46" t="str">
        <f t="shared" si="4"/>
        <v>Bob Johnson</v>
      </c>
      <c r="N31" s="46" t="str">
        <f t="shared" si="5"/>
        <v>1029</v>
      </c>
    </row>
    <row r="32" spans="1:14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  <c r="I32" t="str">
        <f t="shared" si="0"/>
        <v/>
      </c>
      <c r="J32" t="str">
        <f t="shared" si="1"/>
        <v/>
      </c>
      <c r="K32" t="str">
        <f t="shared" si="2"/>
        <v/>
      </c>
      <c r="L32" s="46" t="str">
        <f t="shared" si="3"/>
        <v/>
      </c>
      <c r="M32" s="46" t="str">
        <f t="shared" si="4"/>
        <v/>
      </c>
      <c r="N32" s="46" t="str">
        <f t="shared" si="5"/>
        <v>1030</v>
      </c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  <c r="I33" t="str">
        <f t="shared" si="0"/>
        <v xml:space="preserve">Eve </v>
      </c>
      <c r="J33" t="str">
        <f t="shared" si="1"/>
        <v>dams</v>
      </c>
      <c r="K33" t="str">
        <f t="shared" si="2"/>
        <v>EVE ADAMS</v>
      </c>
      <c r="L33" s="46" t="str">
        <f t="shared" si="3"/>
        <v>eve adams</v>
      </c>
      <c r="M33" s="46" t="str">
        <f t="shared" si="4"/>
        <v>Eve Adams</v>
      </c>
      <c r="N33" s="46" t="str">
        <f t="shared" si="5"/>
        <v>1031</v>
      </c>
    </row>
    <row r="34" spans="1:14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  <c r="I34" t="str">
        <f t="shared" si="0"/>
        <v xml:space="preserve">Sam </v>
      </c>
      <c r="J34" t="str">
        <f t="shared" si="1"/>
        <v>lson</v>
      </c>
      <c r="K34" t="str">
        <f t="shared" si="2"/>
        <v>SAM WILSON</v>
      </c>
      <c r="L34" s="46" t="str">
        <f t="shared" si="3"/>
        <v>sam wilson</v>
      </c>
      <c r="M34" s="46" t="str">
        <f t="shared" si="4"/>
        <v>Sam Wilson</v>
      </c>
      <c r="N34" s="46" t="str">
        <f t="shared" si="5"/>
        <v>1032</v>
      </c>
    </row>
    <row r="35" spans="1:14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  <c r="I35" t="str">
        <f t="shared" si="0"/>
        <v>Chri</v>
      </c>
      <c r="J35" t="str">
        <f t="shared" si="1"/>
        <v xml:space="preserve"> Lee</v>
      </c>
      <c r="K35" t="str">
        <f t="shared" si="2"/>
        <v>CHRIS LEE</v>
      </c>
      <c r="L35" s="46" t="str">
        <f t="shared" si="3"/>
        <v>chris lee</v>
      </c>
      <c r="M35" s="46" t="str">
        <f t="shared" si="4"/>
        <v>Chris Lee</v>
      </c>
      <c r="N35" s="46" t="str">
        <f t="shared" si="5"/>
        <v>1033</v>
      </c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  <c r="I36" t="str">
        <f t="shared" si="0"/>
        <v>John</v>
      </c>
      <c r="J36" t="str">
        <f t="shared" si="1"/>
        <v xml:space="preserve"> Doe</v>
      </c>
      <c r="K36" t="str">
        <f t="shared" si="2"/>
        <v>JOHN DOE</v>
      </c>
      <c r="L36" s="46" t="str">
        <f t="shared" si="3"/>
        <v>john doe</v>
      </c>
      <c r="M36" s="46" t="str">
        <f t="shared" si="4"/>
        <v>John Doe</v>
      </c>
      <c r="N36" s="46" t="str">
        <f t="shared" si="5"/>
        <v>1034</v>
      </c>
    </row>
    <row r="37" spans="1:14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  <c r="I37" t="str">
        <f t="shared" si="0"/>
        <v>Alic</v>
      </c>
      <c r="J37" t="str">
        <f t="shared" si="1"/>
        <v>rown</v>
      </c>
      <c r="K37" t="str">
        <f t="shared" si="2"/>
        <v>ALICE BROWN</v>
      </c>
      <c r="L37" s="46" t="str">
        <f t="shared" si="3"/>
        <v>alice brown</v>
      </c>
      <c r="M37" s="46" t="str">
        <f t="shared" si="4"/>
        <v>Alice Brown</v>
      </c>
      <c r="N37" s="46" t="str">
        <f t="shared" si="5"/>
        <v>1035</v>
      </c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  <c r="I38" t="str">
        <f t="shared" si="0"/>
        <v>Alic</v>
      </c>
      <c r="J38" t="str">
        <f t="shared" si="1"/>
        <v>rown</v>
      </c>
      <c r="K38" t="str">
        <f t="shared" si="2"/>
        <v>ALICE BROWN</v>
      </c>
      <c r="L38" s="46" t="str">
        <f t="shared" si="3"/>
        <v>alice brown</v>
      </c>
      <c r="M38" s="46" t="str">
        <f t="shared" si="4"/>
        <v>Alice Brown</v>
      </c>
      <c r="N38" s="46" t="str">
        <f t="shared" si="5"/>
        <v>1036</v>
      </c>
    </row>
    <row r="39" spans="1:14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  <c r="I39" t="str">
        <f t="shared" si="0"/>
        <v>Alic</v>
      </c>
      <c r="J39" t="str">
        <f t="shared" si="1"/>
        <v>rown</v>
      </c>
      <c r="K39" t="str">
        <f t="shared" si="2"/>
        <v>ALICE BROWN</v>
      </c>
      <c r="L39" s="46" t="str">
        <f t="shared" si="3"/>
        <v>alice brown</v>
      </c>
      <c r="M39" s="46" t="str">
        <f t="shared" si="4"/>
        <v>Alice Brown</v>
      </c>
      <c r="N39" s="46" t="str">
        <f t="shared" si="5"/>
        <v>1037</v>
      </c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  <c r="I40" t="str">
        <f t="shared" si="0"/>
        <v>John</v>
      </c>
      <c r="J40" t="str">
        <f t="shared" si="1"/>
        <v xml:space="preserve"> Doe</v>
      </c>
      <c r="K40" t="str">
        <f t="shared" si="2"/>
        <v>JOHN DOE</v>
      </c>
      <c r="L40" s="46" t="str">
        <f t="shared" si="3"/>
        <v>john doe</v>
      </c>
      <c r="M40" s="46" t="str">
        <f t="shared" si="4"/>
        <v>John Doe</v>
      </c>
      <c r="N40" s="46" t="str">
        <f t="shared" si="5"/>
        <v>1038</v>
      </c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  <c r="I41" t="str">
        <f t="shared" si="0"/>
        <v>Chri</v>
      </c>
      <c r="J41" t="str">
        <f t="shared" si="1"/>
        <v xml:space="preserve"> Lee</v>
      </c>
      <c r="K41" t="str">
        <f t="shared" si="2"/>
        <v>CHRIS LEE</v>
      </c>
      <c r="L41" s="46" t="str">
        <f t="shared" si="3"/>
        <v>chris lee</v>
      </c>
      <c r="M41" s="46" t="str">
        <f t="shared" si="4"/>
        <v>Chris Lee</v>
      </c>
      <c r="N41" s="46" t="str">
        <f t="shared" si="5"/>
        <v>1039</v>
      </c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  <c r="I42" t="str">
        <f t="shared" si="0"/>
        <v xml:space="preserve">Bob </v>
      </c>
      <c r="J42" t="str">
        <f t="shared" si="1"/>
        <v>nson</v>
      </c>
      <c r="K42" t="str">
        <f t="shared" si="2"/>
        <v>BOB JOHNSON</v>
      </c>
      <c r="L42" s="46" t="str">
        <f t="shared" si="3"/>
        <v>bob johnson</v>
      </c>
      <c r="M42" s="46" t="str">
        <f t="shared" si="4"/>
        <v>Bob Johnson</v>
      </c>
      <c r="N42" s="46" t="str">
        <f t="shared" si="5"/>
        <v>1040</v>
      </c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  <c r="I43" t="str">
        <f t="shared" si="0"/>
        <v>Alic</v>
      </c>
      <c r="J43" t="str">
        <f t="shared" si="1"/>
        <v>rown</v>
      </c>
      <c r="K43" t="str">
        <f t="shared" si="2"/>
        <v>ALICE BROWN</v>
      </c>
      <c r="L43" s="46" t="str">
        <f t="shared" si="3"/>
        <v>alice brown</v>
      </c>
      <c r="M43" s="46" t="str">
        <f t="shared" si="4"/>
        <v>Alice Brown</v>
      </c>
      <c r="N43" s="46" t="str">
        <f t="shared" si="5"/>
        <v>1041</v>
      </c>
    </row>
    <row r="44" spans="1:14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  <c r="I44" t="str">
        <f t="shared" si="0"/>
        <v xml:space="preserve">Bob </v>
      </c>
      <c r="J44" t="str">
        <f t="shared" si="1"/>
        <v>nson</v>
      </c>
      <c r="K44" t="str">
        <f t="shared" si="2"/>
        <v>BOB JOHNSON</v>
      </c>
      <c r="L44" s="46" t="str">
        <f t="shared" si="3"/>
        <v>bob johnson</v>
      </c>
      <c r="M44" s="46" t="str">
        <f t="shared" si="4"/>
        <v>Bob Johnson</v>
      </c>
      <c r="N44" s="46" t="str">
        <f t="shared" si="5"/>
        <v>1042</v>
      </c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  <c r="I45" t="str">
        <f t="shared" si="0"/>
        <v>Alic</v>
      </c>
      <c r="J45" t="str">
        <f t="shared" si="1"/>
        <v>rown</v>
      </c>
      <c r="K45" t="str">
        <f t="shared" si="2"/>
        <v>ALICE BROWN</v>
      </c>
      <c r="L45" s="46" t="str">
        <f t="shared" si="3"/>
        <v>alice brown</v>
      </c>
      <c r="M45" s="46" t="str">
        <f t="shared" si="4"/>
        <v>Alice Brown</v>
      </c>
      <c r="N45" s="46" t="str">
        <f t="shared" si="5"/>
        <v>1043</v>
      </c>
    </row>
    <row r="46" spans="1:14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  <c r="I46" t="str">
        <f t="shared" si="0"/>
        <v>Chri</v>
      </c>
      <c r="J46" t="str">
        <f t="shared" si="1"/>
        <v xml:space="preserve"> Lee</v>
      </c>
      <c r="K46" t="str">
        <f t="shared" si="2"/>
        <v>CHRIS LEE</v>
      </c>
      <c r="L46" s="46" t="str">
        <f t="shared" si="3"/>
        <v>chris lee</v>
      </c>
      <c r="M46" s="46" t="str">
        <f t="shared" si="4"/>
        <v>Chris Lee</v>
      </c>
      <c r="N46" s="46" t="str">
        <f t="shared" si="5"/>
        <v>1044</v>
      </c>
    </row>
    <row r="47" spans="1:14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  <c r="I47" t="str">
        <f t="shared" si="0"/>
        <v/>
      </c>
      <c r="J47" t="str">
        <f t="shared" si="1"/>
        <v/>
      </c>
      <c r="K47" t="str">
        <f t="shared" si="2"/>
        <v/>
      </c>
      <c r="L47" s="46" t="str">
        <f t="shared" si="3"/>
        <v/>
      </c>
      <c r="M47" s="46" t="str">
        <f t="shared" si="4"/>
        <v/>
      </c>
      <c r="N47" s="46" t="str">
        <f t="shared" si="5"/>
        <v>1045</v>
      </c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  <c r="I48" t="str">
        <f t="shared" si="0"/>
        <v>Chri</v>
      </c>
      <c r="J48" t="str">
        <f t="shared" si="1"/>
        <v xml:space="preserve"> Lee</v>
      </c>
      <c r="K48" t="str">
        <f t="shared" si="2"/>
        <v>CHRIS LEE</v>
      </c>
      <c r="L48" s="46" t="str">
        <f t="shared" si="3"/>
        <v>chris lee</v>
      </c>
      <c r="M48" s="46" t="str">
        <f t="shared" si="4"/>
        <v>Chris Lee</v>
      </c>
      <c r="N48" s="46" t="str">
        <f t="shared" si="5"/>
        <v>1046</v>
      </c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  <c r="I49" t="str">
        <f t="shared" si="0"/>
        <v>Chri</v>
      </c>
      <c r="J49" t="str">
        <f t="shared" si="1"/>
        <v xml:space="preserve"> Lee</v>
      </c>
      <c r="K49" t="str">
        <f t="shared" si="2"/>
        <v>CHRIS LEE</v>
      </c>
      <c r="L49" s="46" t="str">
        <f t="shared" si="3"/>
        <v>chris lee</v>
      </c>
      <c r="M49" s="46" t="str">
        <f t="shared" si="4"/>
        <v>Chris Lee</v>
      </c>
      <c r="N49" s="46" t="str">
        <f t="shared" si="5"/>
        <v>1047</v>
      </c>
    </row>
    <row r="50" spans="1:14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  <c r="I50" t="str">
        <f t="shared" si="0"/>
        <v>John</v>
      </c>
      <c r="J50" t="str">
        <f t="shared" si="1"/>
        <v xml:space="preserve"> Doe</v>
      </c>
      <c r="K50" t="str">
        <f t="shared" si="2"/>
        <v>JOHN DOE</v>
      </c>
      <c r="L50" s="46" t="str">
        <f t="shared" si="3"/>
        <v>john doe</v>
      </c>
      <c r="M50" s="46" t="str">
        <f t="shared" si="4"/>
        <v>John Doe</v>
      </c>
      <c r="N50" s="46" t="str">
        <f t="shared" si="5"/>
        <v>1048</v>
      </c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  <c r="I51" t="str">
        <f t="shared" si="0"/>
        <v xml:space="preserve">Eve </v>
      </c>
      <c r="J51" t="str">
        <f t="shared" si="1"/>
        <v>dams</v>
      </c>
      <c r="K51" t="str">
        <f t="shared" si="2"/>
        <v>EVE ADAMS</v>
      </c>
      <c r="L51" s="46" t="str">
        <f t="shared" si="3"/>
        <v>eve adams</v>
      </c>
      <c r="M51" s="46" t="str">
        <f t="shared" si="4"/>
        <v>Eve Adams</v>
      </c>
      <c r="N51" s="46" t="str">
        <f t="shared" si="5"/>
        <v>1049</v>
      </c>
    </row>
    <row r="52" spans="1:14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  <c r="I52" t="str">
        <f t="shared" si="0"/>
        <v>Chri</v>
      </c>
      <c r="J52" t="str">
        <f t="shared" si="1"/>
        <v xml:space="preserve"> Lee</v>
      </c>
      <c r="K52" t="str">
        <f t="shared" si="2"/>
        <v>CHRIS LEE</v>
      </c>
      <c r="L52" s="46" t="str">
        <f t="shared" si="3"/>
        <v>chris lee</v>
      </c>
      <c r="M52" s="46" t="str">
        <f t="shared" si="4"/>
        <v>Chris Lee</v>
      </c>
      <c r="N52" s="46" t="str">
        <f t="shared" si="5"/>
        <v>1050</v>
      </c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  <c r="I53" t="str">
        <f t="shared" si="0"/>
        <v xml:space="preserve">Sam </v>
      </c>
      <c r="J53" t="str">
        <f t="shared" si="1"/>
        <v>lson</v>
      </c>
      <c r="K53" t="str">
        <f t="shared" si="2"/>
        <v>SAM WILSON</v>
      </c>
      <c r="L53" s="46" t="str">
        <f t="shared" si="3"/>
        <v>sam wilson</v>
      </c>
      <c r="M53" s="46" t="str">
        <f t="shared" si="4"/>
        <v>Sam Wilson</v>
      </c>
      <c r="N53" s="46" t="str">
        <f t="shared" si="5"/>
        <v>1051</v>
      </c>
    </row>
    <row r="54" spans="1:14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  <c r="I54" t="str">
        <f t="shared" si="0"/>
        <v xml:space="preserve">Eve </v>
      </c>
      <c r="J54" t="str">
        <f t="shared" si="1"/>
        <v>dams</v>
      </c>
      <c r="K54" t="str">
        <f t="shared" si="2"/>
        <v>EVE ADAMS</v>
      </c>
      <c r="L54" s="46" t="str">
        <f t="shared" si="3"/>
        <v>eve adams</v>
      </c>
      <c r="M54" s="46" t="str">
        <f t="shared" si="4"/>
        <v>Eve Adams</v>
      </c>
      <c r="N54" s="46" t="str">
        <f t="shared" si="5"/>
        <v>1052</v>
      </c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  <c r="I55" t="str">
        <f t="shared" si="0"/>
        <v xml:space="preserve">Eve </v>
      </c>
      <c r="J55" t="str">
        <f t="shared" si="1"/>
        <v>dams</v>
      </c>
      <c r="K55" t="str">
        <f t="shared" si="2"/>
        <v>EVE ADAMS</v>
      </c>
      <c r="L55" s="46" t="str">
        <f t="shared" si="3"/>
        <v>eve adams</v>
      </c>
      <c r="M55" s="46" t="str">
        <f t="shared" si="4"/>
        <v>Eve Adams</v>
      </c>
      <c r="N55" s="46" t="str">
        <f t="shared" si="5"/>
        <v>1053</v>
      </c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  <c r="I56" t="str">
        <f t="shared" si="0"/>
        <v xml:space="preserve">Bob </v>
      </c>
      <c r="J56" t="str">
        <f t="shared" si="1"/>
        <v>nson</v>
      </c>
      <c r="K56" t="str">
        <f t="shared" si="2"/>
        <v>BOB JOHNSON</v>
      </c>
      <c r="L56" s="46" t="str">
        <f t="shared" si="3"/>
        <v>bob johnson</v>
      </c>
      <c r="M56" s="46" t="str">
        <f t="shared" si="4"/>
        <v>Bob Johnson</v>
      </c>
      <c r="N56" s="46" t="str">
        <f t="shared" si="5"/>
        <v>1054</v>
      </c>
    </row>
    <row r="57" spans="1:14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  <c r="I57" t="str">
        <f t="shared" si="0"/>
        <v>Chri</v>
      </c>
      <c r="J57" t="str">
        <f t="shared" si="1"/>
        <v xml:space="preserve"> Lee</v>
      </c>
      <c r="K57" t="str">
        <f t="shared" si="2"/>
        <v>CHRIS LEE</v>
      </c>
      <c r="L57" s="46" t="str">
        <f t="shared" si="3"/>
        <v>chris lee</v>
      </c>
      <c r="M57" s="46" t="str">
        <f t="shared" si="4"/>
        <v>Chris Lee</v>
      </c>
      <c r="N57" s="46" t="str">
        <f t="shared" si="5"/>
        <v>1055</v>
      </c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  <c r="I58" t="str">
        <f t="shared" si="0"/>
        <v>John</v>
      </c>
      <c r="J58" t="str">
        <f t="shared" si="1"/>
        <v xml:space="preserve"> Doe</v>
      </c>
      <c r="K58" t="str">
        <f t="shared" si="2"/>
        <v>JOHN DOE</v>
      </c>
      <c r="L58" s="46" t="str">
        <f t="shared" si="3"/>
        <v>john doe</v>
      </c>
      <c r="M58" s="46" t="str">
        <f t="shared" si="4"/>
        <v>John Doe</v>
      </c>
      <c r="N58" s="46" t="str">
        <f t="shared" si="5"/>
        <v>1056</v>
      </c>
    </row>
    <row r="59" spans="1:14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  <c r="I59" t="str">
        <f t="shared" si="0"/>
        <v xml:space="preserve">Eve </v>
      </c>
      <c r="J59" t="str">
        <f t="shared" si="1"/>
        <v>dams</v>
      </c>
      <c r="K59" t="str">
        <f t="shared" si="2"/>
        <v>EVE ADAMS</v>
      </c>
      <c r="L59" s="46" t="str">
        <f t="shared" si="3"/>
        <v>eve adams</v>
      </c>
      <c r="M59" s="46" t="str">
        <f t="shared" si="4"/>
        <v>Eve Adams</v>
      </c>
      <c r="N59" s="46" t="str">
        <f t="shared" si="5"/>
        <v>1057</v>
      </c>
    </row>
    <row r="60" spans="1:14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  <c r="I60" t="str">
        <f t="shared" si="0"/>
        <v xml:space="preserve">Sam </v>
      </c>
      <c r="J60" t="str">
        <f t="shared" si="1"/>
        <v>lson</v>
      </c>
      <c r="K60" t="str">
        <f t="shared" si="2"/>
        <v>SAM WILSON</v>
      </c>
      <c r="L60" s="46" t="str">
        <f t="shared" si="3"/>
        <v>sam wilson</v>
      </c>
      <c r="M60" s="46" t="str">
        <f t="shared" si="4"/>
        <v>Sam Wilson</v>
      </c>
      <c r="N60" s="46" t="str">
        <f t="shared" si="5"/>
        <v>1058</v>
      </c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  <c r="I61" t="str">
        <f t="shared" si="0"/>
        <v xml:space="preserve">Sam </v>
      </c>
      <c r="J61" t="str">
        <f t="shared" si="1"/>
        <v>lson</v>
      </c>
      <c r="K61" t="str">
        <f t="shared" si="2"/>
        <v>SAM WILSON</v>
      </c>
      <c r="L61" s="46" t="str">
        <f t="shared" si="3"/>
        <v>sam wilson</v>
      </c>
      <c r="M61" s="46" t="str">
        <f t="shared" si="4"/>
        <v>Sam Wilson</v>
      </c>
      <c r="N61" s="46" t="str">
        <f t="shared" si="5"/>
        <v>1059</v>
      </c>
    </row>
    <row r="62" spans="1:14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  <c r="I62" t="str">
        <f t="shared" si="0"/>
        <v/>
      </c>
      <c r="J62" t="str">
        <f t="shared" si="1"/>
        <v/>
      </c>
      <c r="K62" t="str">
        <f t="shared" si="2"/>
        <v/>
      </c>
      <c r="L62" s="46" t="str">
        <f t="shared" si="3"/>
        <v/>
      </c>
      <c r="M62" s="46" t="str">
        <f t="shared" si="4"/>
        <v/>
      </c>
      <c r="N62" s="46" t="str">
        <f t="shared" si="5"/>
        <v>1060</v>
      </c>
    </row>
    <row r="63" spans="1:14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  <c r="I63" t="str">
        <f t="shared" si="0"/>
        <v xml:space="preserve">Eve </v>
      </c>
      <c r="J63" t="str">
        <f t="shared" si="1"/>
        <v>dams</v>
      </c>
      <c r="K63" t="str">
        <f t="shared" si="2"/>
        <v>EVE ADAMS</v>
      </c>
      <c r="L63" s="46" t="str">
        <f t="shared" si="3"/>
        <v>eve adams</v>
      </c>
      <c r="M63" s="46" t="str">
        <f t="shared" si="4"/>
        <v>Eve Adams</v>
      </c>
      <c r="N63" s="46" t="str">
        <f t="shared" si="5"/>
        <v>1061</v>
      </c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  <c r="I64" t="str">
        <f t="shared" si="0"/>
        <v>Chri</v>
      </c>
      <c r="J64" t="str">
        <f t="shared" si="1"/>
        <v xml:space="preserve"> Lee</v>
      </c>
      <c r="K64" t="str">
        <f t="shared" si="2"/>
        <v>CHRIS LEE</v>
      </c>
      <c r="L64" s="46" t="str">
        <f t="shared" si="3"/>
        <v>chris lee</v>
      </c>
      <c r="M64" s="46" t="str">
        <f t="shared" si="4"/>
        <v>Chris Lee</v>
      </c>
      <c r="N64" s="46" t="str">
        <f t="shared" si="5"/>
        <v>1062</v>
      </c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  <c r="I65" t="str">
        <f t="shared" si="0"/>
        <v xml:space="preserve">Eve </v>
      </c>
      <c r="J65" t="str">
        <f t="shared" si="1"/>
        <v>dams</v>
      </c>
      <c r="K65" t="str">
        <f t="shared" si="2"/>
        <v>EVE ADAMS</v>
      </c>
      <c r="L65" s="46" t="str">
        <f t="shared" si="3"/>
        <v>eve adams</v>
      </c>
      <c r="M65" s="46" t="str">
        <f t="shared" si="4"/>
        <v>Eve Adams</v>
      </c>
      <c r="N65" s="46" t="str">
        <f t="shared" si="5"/>
        <v>1063</v>
      </c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  <c r="I66" t="str">
        <f t="shared" ref="I66:I129" si="6">LEFT(B66,4)</f>
        <v>John</v>
      </c>
      <c r="J66" t="str">
        <f t="shared" ref="J66:J129" si="7">RIGHT(B66,4)</f>
        <v xml:space="preserve"> Doe</v>
      </c>
      <c r="K66" t="str">
        <f t="shared" ref="K66:K129" si="8">UPPER(B66)</f>
        <v>JOHN DOE</v>
      </c>
      <c r="L66" s="46" t="str">
        <f t="shared" ref="L66:L129" si="9">LOWER(B66)</f>
        <v>john doe</v>
      </c>
      <c r="M66" s="46" t="str">
        <f t="shared" ref="M66:M129" si="10">PROPER(B66)</f>
        <v>John Doe</v>
      </c>
      <c r="N66" s="46" t="str">
        <f t="shared" ref="N66:N129" si="11">MID(A66,4,4)</f>
        <v>1064</v>
      </c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  <c r="I67" t="str">
        <f t="shared" si="6"/>
        <v xml:space="preserve">Sam </v>
      </c>
      <c r="J67" t="str">
        <f t="shared" si="7"/>
        <v>lson</v>
      </c>
      <c r="K67" t="str">
        <f t="shared" si="8"/>
        <v>SAM WILSON</v>
      </c>
      <c r="L67" s="46" t="str">
        <f t="shared" si="9"/>
        <v>sam wilson</v>
      </c>
      <c r="M67" s="46" t="str">
        <f t="shared" si="10"/>
        <v>Sam Wilson</v>
      </c>
      <c r="N67" s="46" t="str">
        <f t="shared" si="11"/>
        <v>1065</v>
      </c>
    </row>
    <row r="68" spans="1:14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  <c r="I68" t="str">
        <f t="shared" si="6"/>
        <v xml:space="preserve">Sam </v>
      </c>
      <c r="J68" t="str">
        <f t="shared" si="7"/>
        <v>lson</v>
      </c>
      <c r="K68" t="str">
        <f t="shared" si="8"/>
        <v>SAM WILSON</v>
      </c>
      <c r="L68" s="46" t="str">
        <f t="shared" si="9"/>
        <v>sam wilson</v>
      </c>
      <c r="M68" s="46" t="str">
        <f t="shared" si="10"/>
        <v>Sam Wilson</v>
      </c>
      <c r="N68" s="46" t="str">
        <f t="shared" si="11"/>
        <v>1066</v>
      </c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  <c r="I69" t="str">
        <f t="shared" si="6"/>
        <v>Alic</v>
      </c>
      <c r="J69" t="str">
        <f t="shared" si="7"/>
        <v>rown</v>
      </c>
      <c r="K69" t="str">
        <f t="shared" si="8"/>
        <v>ALICE BROWN</v>
      </c>
      <c r="L69" s="46" t="str">
        <f t="shared" si="9"/>
        <v>alice brown</v>
      </c>
      <c r="M69" s="46" t="str">
        <f t="shared" si="10"/>
        <v>Alice Brown</v>
      </c>
      <c r="N69" s="46" t="str">
        <f t="shared" si="11"/>
        <v>1067</v>
      </c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  <c r="I70" t="str">
        <f t="shared" si="6"/>
        <v xml:space="preserve">Sam </v>
      </c>
      <c r="J70" t="str">
        <f t="shared" si="7"/>
        <v>lson</v>
      </c>
      <c r="K70" t="str">
        <f t="shared" si="8"/>
        <v>SAM WILSON</v>
      </c>
      <c r="L70" s="46" t="str">
        <f t="shared" si="9"/>
        <v>sam wilson</v>
      </c>
      <c r="M70" s="46" t="str">
        <f t="shared" si="10"/>
        <v>Sam Wilson</v>
      </c>
      <c r="N70" s="46" t="str">
        <f t="shared" si="11"/>
        <v>1068</v>
      </c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  <c r="I71" t="str">
        <f t="shared" si="6"/>
        <v xml:space="preserve">Bob </v>
      </c>
      <c r="J71" t="str">
        <f t="shared" si="7"/>
        <v>nson</v>
      </c>
      <c r="K71" t="str">
        <f t="shared" si="8"/>
        <v>BOB JOHNSON</v>
      </c>
      <c r="L71" s="46" t="str">
        <f t="shared" si="9"/>
        <v>bob johnson</v>
      </c>
      <c r="M71" s="46" t="str">
        <f t="shared" si="10"/>
        <v>Bob Johnson</v>
      </c>
      <c r="N71" s="46" t="str">
        <f t="shared" si="11"/>
        <v>1069</v>
      </c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  <c r="I72" t="str">
        <f t="shared" si="6"/>
        <v xml:space="preserve">Eve </v>
      </c>
      <c r="J72" t="str">
        <f t="shared" si="7"/>
        <v>dams</v>
      </c>
      <c r="K72" t="str">
        <f t="shared" si="8"/>
        <v>EVE ADAMS</v>
      </c>
      <c r="L72" s="46" t="str">
        <f t="shared" si="9"/>
        <v>eve adams</v>
      </c>
      <c r="M72" s="46" t="str">
        <f t="shared" si="10"/>
        <v>Eve Adams</v>
      </c>
      <c r="N72" s="46" t="str">
        <f t="shared" si="11"/>
        <v>1070</v>
      </c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  <c r="I73" t="str">
        <f t="shared" si="6"/>
        <v xml:space="preserve">Eve </v>
      </c>
      <c r="J73" t="str">
        <f t="shared" si="7"/>
        <v>dams</v>
      </c>
      <c r="K73" t="str">
        <f t="shared" si="8"/>
        <v>EVE ADAMS</v>
      </c>
      <c r="L73" s="46" t="str">
        <f t="shared" si="9"/>
        <v>eve adams</v>
      </c>
      <c r="M73" s="46" t="str">
        <f t="shared" si="10"/>
        <v>Eve Adams</v>
      </c>
      <c r="N73" s="46" t="str">
        <f t="shared" si="11"/>
        <v>1071</v>
      </c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  <c r="I74" t="str">
        <f t="shared" si="6"/>
        <v xml:space="preserve">Bob </v>
      </c>
      <c r="J74" t="str">
        <f t="shared" si="7"/>
        <v>nson</v>
      </c>
      <c r="K74" t="str">
        <f t="shared" si="8"/>
        <v>BOB JOHNSON</v>
      </c>
      <c r="L74" s="46" t="str">
        <f t="shared" si="9"/>
        <v>bob johnson</v>
      </c>
      <c r="M74" s="46" t="str">
        <f t="shared" si="10"/>
        <v>Bob Johnson</v>
      </c>
      <c r="N74" s="46" t="str">
        <f t="shared" si="11"/>
        <v>1072</v>
      </c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  <c r="I75" t="str">
        <f t="shared" si="6"/>
        <v>John</v>
      </c>
      <c r="J75" t="str">
        <f t="shared" si="7"/>
        <v xml:space="preserve"> Doe</v>
      </c>
      <c r="K75" t="str">
        <f t="shared" si="8"/>
        <v>JOHN DOE</v>
      </c>
      <c r="L75" s="46" t="str">
        <f t="shared" si="9"/>
        <v>john doe</v>
      </c>
      <c r="M75" s="46" t="str">
        <f t="shared" si="10"/>
        <v>John Doe</v>
      </c>
      <c r="N75" s="46" t="str">
        <f t="shared" si="11"/>
        <v>1073</v>
      </c>
    </row>
    <row r="76" spans="1:14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  <c r="I76" t="str">
        <f t="shared" si="6"/>
        <v xml:space="preserve">Sam </v>
      </c>
      <c r="J76" t="str">
        <f t="shared" si="7"/>
        <v>lson</v>
      </c>
      <c r="K76" t="str">
        <f t="shared" si="8"/>
        <v>SAM WILSON</v>
      </c>
      <c r="L76" s="46" t="str">
        <f t="shared" si="9"/>
        <v>sam wilson</v>
      </c>
      <c r="M76" s="46" t="str">
        <f t="shared" si="10"/>
        <v>Sam Wilson</v>
      </c>
      <c r="N76" s="46" t="str">
        <f t="shared" si="11"/>
        <v>1074</v>
      </c>
    </row>
    <row r="77" spans="1:14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  <c r="I77" t="str">
        <f t="shared" si="6"/>
        <v/>
      </c>
      <c r="J77" t="str">
        <f t="shared" si="7"/>
        <v/>
      </c>
      <c r="K77" t="str">
        <f t="shared" si="8"/>
        <v/>
      </c>
      <c r="L77" s="46" t="str">
        <f t="shared" si="9"/>
        <v/>
      </c>
      <c r="M77" s="46" t="str">
        <f t="shared" si="10"/>
        <v/>
      </c>
      <c r="N77" s="46" t="str">
        <f t="shared" si="11"/>
        <v>1075</v>
      </c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  <c r="I78" t="str">
        <f t="shared" si="6"/>
        <v xml:space="preserve">Eve </v>
      </c>
      <c r="J78" t="str">
        <f t="shared" si="7"/>
        <v>dams</v>
      </c>
      <c r="K78" t="str">
        <f t="shared" si="8"/>
        <v>EVE ADAMS</v>
      </c>
      <c r="L78" s="46" t="str">
        <f t="shared" si="9"/>
        <v>eve adams</v>
      </c>
      <c r="M78" s="46" t="str">
        <f t="shared" si="10"/>
        <v>Eve Adams</v>
      </c>
      <c r="N78" s="46" t="str">
        <f t="shared" si="11"/>
        <v>1076</v>
      </c>
    </row>
    <row r="79" spans="1:14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  <c r="I79" t="str">
        <f t="shared" si="6"/>
        <v>Jane</v>
      </c>
      <c r="J79" t="str">
        <f t="shared" si="7"/>
        <v>mith</v>
      </c>
      <c r="K79" t="str">
        <f t="shared" si="8"/>
        <v>JANE SMITH</v>
      </c>
      <c r="L79" s="46" t="str">
        <f t="shared" si="9"/>
        <v>jane smith</v>
      </c>
      <c r="M79" s="46" t="str">
        <f t="shared" si="10"/>
        <v>Jane Smith</v>
      </c>
      <c r="N79" s="46" t="str">
        <f t="shared" si="11"/>
        <v>1077</v>
      </c>
    </row>
    <row r="80" spans="1:14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  <c r="I80" t="str">
        <f t="shared" si="6"/>
        <v xml:space="preserve">Sam </v>
      </c>
      <c r="J80" t="str">
        <f t="shared" si="7"/>
        <v>lson</v>
      </c>
      <c r="K80" t="str">
        <f t="shared" si="8"/>
        <v>SAM WILSON</v>
      </c>
      <c r="L80" s="46" t="str">
        <f t="shared" si="9"/>
        <v>sam wilson</v>
      </c>
      <c r="M80" s="46" t="str">
        <f t="shared" si="10"/>
        <v>Sam Wilson</v>
      </c>
      <c r="N80" s="46" t="str">
        <f t="shared" si="11"/>
        <v>1078</v>
      </c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  <c r="I81" t="str">
        <f t="shared" si="6"/>
        <v>Chri</v>
      </c>
      <c r="J81" t="str">
        <f t="shared" si="7"/>
        <v xml:space="preserve"> Lee</v>
      </c>
      <c r="K81" t="str">
        <f t="shared" si="8"/>
        <v>CHRIS LEE</v>
      </c>
      <c r="L81" s="46" t="str">
        <f t="shared" si="9"/>
        <v>chris lee</v>
      </c>
      <c r="M81" s="46" t="str">
        <f t="shared" si="10"/>
        <v>Chris Lee</v>
      </c>
      <c r="N81" s="46" t="str">
        <f t="shared" si="11"/>
        <v>1079</v>
      </c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  <c r="I82" t="str">
        <f t="shared" si="6"/>
        <v xml:space="preserve">Eve </v>
      </c>
      <c r="J82" t="str">
        <f t="shared" si="7"/>
        <v>dams</v>
      </c>
      <c r="K82" t="str">
        <f t="shared" si="8"/>
        <v>EVE ADAMS</v>
      </c>
      <c r="L82" s="46" t="str">
        <f t="shared" si="9"/>
        <v>eve adams</v>
      </c>
      <c r="M82" s="46" t="str">
        <f t="shared" si="10"/>
        <v>Eve Adams</v>
      </c>
      <c r="N82" s="46" t="str">
        <f t="shared" si="11"/>
        <v>1080</v>
      </c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  <c r="I83" t="str">
        <f t="shared" si="6"/>
        <v>Jane</v>
      </c>
      <c r="J83" t="str">
        <f t="shared" si="7"/>
        <v>mith</v>
      </c>
      <c r="K83" t="str">
        <f t="shared" si="8"/>
        <v>JANE SMITH</v>
      </c>
      <c r="L83" s="46" t="str">
        <f t="shared" si="9"/>
        <v>jane smith</v>
      </c>
      <c r="M83" s="46" t="str">
        <f t="shared" si="10"/>
        <v>Jane Smith</v>
      </c>
      <c r="N83" s="46" t="str">
        <f t="shared" si="11"/>
        <v>1081</v>
      </c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  <c r="I84" t="str">
        <f t="shared" si="6"/>
        <v xml:space="preserve">Eve </v>
      </c>
      <c r="J84" t="str">
        <f t="shared" si="7"/>
        <v>dams</v>
      </c>
      <c r="K84" t="str">
        <f t="shared" si="8"/>
        <v>EVE ADAMS</v>
      </c>
      <c r="L84" s="46" t="str">
        <f t="shared" si="9"/>
        <v>eve adams</v>
      </c>
      <c r="M84" s="46" t="str">
        <f t="shared" si="10"/>
        <v>Eve Adams</v>
      </c>
      <c r="N84" s="46" t="str">
        <f t="shared" si="11"/>
        <v>1082</v>
      </c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  <c r="I85" t="str">
        <f t="shared" si="6"/>
        <v xml:space="preserve">Sam </v>
      </c>
      <c r="J85" t="str">
        <f t="shared" si="7"/>
        <v>lson</v>
      </c>
      <c r="K85" t="str">
        <f t="shared" si="8"/>
        <v>SAM WILSON</v>
      </c>
      <c r="L85" s="46" t="str">
        <f t="shared" si="9"/>
        <v>sam wilson</v>
      </c>
      <c r="M85" s="46" t="str">
        <f t="shared" si="10"/>
        <v>Sam Wilson</v>
      </c>
      <c r="N85" s="46" t="str">
        <f t="shared" si="11"/>
        <v>1083</v>
      </c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  <c r="I86" t="str">
        <f t="shared" si="6"/>
        <v>John</v>
      </c>
      <c r="J86" t="str">
        <f t="shared" si="7"/>
        <v xml:space="preserve"> Doe</v>
      </c>
      <c r="K86" t="str">
        <f t="shared" si="8"/>
        <v>JOHN DOE</v>
      </c>
      <c r="L86" s="46" t="str">
        <f t="shared" si="9"/>
        <v>john doe</v>
      </c>
      <c r="M86" s="46" t="str">
        <f t="shared" si="10"/>
        <v>John Doe</v>
      </c>
      <c r="N86" s="46" t="str">
        <f t="shared" si="11"/>
        <v>1084</v>
      </c>
    </row>
    <row r="87" spans="1:14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  <c r="I87" t="str">
        <f t="shared" si="6"/>
        <v>Chri</v>
      </c>
      <c r="J87" t="str">
        <f t="shared" si="7"/>
        <v xml:space="preserve"> Lee</v>
      </c>
      <c r="K87" t="str">
        <f t="shared" si="8"/>
        <v>CHRIS LEE</v>
      </c>
      <c r="L87" s="46" t="str">
        <f t="shared" si="9"/>
        <v>chris lee</v>
      </c>
      <c r="M87" s="46" t="str">
        <f t="shared" si="10"/>
        <v>Chris Lee</v>
      </c>
      <c r="N87" s="46" t="str">
        <f t="shared" si="11"/>
        <v>1085</v>
      </c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  <c r="I88" t="str">
        <f t="shared" si="6"/>
        <v>Chri</v>
      </c>
      <c r="J88" t="str">
        <f t="shared" si="7"/>
        <v xml:space="preserve"> Lee</v>
      </c>
      <c r="K88" t="str">
        <f t="shared" si="8"/>
        <v>CHRIS LEE</v>
      </c>
      <c r="L88" s="46" t="str">
        <f t="shared" si="9"/>
        <v>chris lee</v>
      </c>
      <c r="M88" s="46" t="str">
        <f t="shared" si="10"/>
        <v>Chris Lee</v>
      </c>
      <c r="N88" s="46" t="str">
        <f t="shared" si="11"/>
        <v>1086</v>
      </c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  <c r="I89" t="str">
        <f t="shared" si="6"/>
        <v xml:space="preserve">Sam </v>
      </c>
      <c r="J89" t="str">
        <f t="shared" si="7"/>
        <v>lson</v>
      </c>
      <c r="K89" t="str">
        <f t="shared" si="8"/>
        <v>SAM WILSON</v>
      </c>
      <c r="L89" s="46" t="str">
        <f t="shared" si="9"/>
        <v>sam wilson</v>
      </c>
      <c r="M89" s="46" t="str">
        <f t="shared" si="10"/>
        <v>Sam Wilson</v>
      </c>
      <c r="N89" s="46" t="str">
        <f t="shared" si="11"/>
        <v>1087</v>
      </c>
    </row>
    <row r="90" spans="1:14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  <c r="I90" t="str">
        <f t="shared" si="6"/>
        <v>Chri</v>
      </c>
      <c r="J90" t="str">
        <f t="shared" si="7"/>
        <v xml:space="preserve"> Lee</v>
      </c>
      <c r="K90" t="str">
        <f t="shared" si="8"/>
        <v>CHRIS LEE</v>
      </c>
      <c r="L90" s="46" t="str">
        <f t="shared" si="9"/>
        <v>chris lee</v>
      </c>
      <c r="M90" s="46" t="str">
        <f t="shared" si="10"/>
        <v>Chris Lee</v>
      </c>
      <c r="N90" s="46" t="str">
        <f t="shared" si="11"/>
        <v>1088</v>
      </c>
    </row>
    <row r="91" spans="1:14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  <c r="I91" t="str">
        <f t="shared" si="6"/>
        <v>Jane</v>
      </c>
      <c r="J91" t="str">
        <f t="shared" si="7"/>
        <v>mith</v>
      </c>
      <c r="K91" t="str">
        <f t="shared" si="8"/>
        <v>JANE SMITH</v>
      </c>
      <c r="L91" s="46" t="str">
        <f t="shared" si="9"/>
        <v>jane smith</v>
      </c>
      <c r="M91" s="46" t="str">
        <f t="shared" si="10"/>
        <v>Jane Smith</v>
      </c>
      <c r="N91" s="46" t="str">
        <f t="shared" si="11"/>
        <v>1089</v>
      </c>
    </row>
    <row r="92" spans="1:14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  <c r="I92" t="str">
        <f t="shared" si="6"/>
        <v/>
      </c>
      <c r="J92" t="str">
        <f t="shared" si="7"/>
        <v/>
      </c>
      <c r="K92" t="str">
        <f t="shared" si="8"/>
        <v/>
      </c>
      <c r="L92" s="46" t="str">
        <f t="shared" si="9"/>
        <v/>
      </c>
      <c r="M92" s="46" t="str">
        <f t="shared" si="10"/>
        <v/>
      </c>
      <c r="N92" s="46" t="str">
        <f t="shared" si="11"/>
        <v>1090</v>
      </c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  <c r="I93" t="str">
        <f t="shared" si="6"/>
        <v>Alic</v>
      </c>
      <c r="J93" t="str">
        <f t="shared" si="7"/>
        <v>rown</v>
      </c>
      <c r="K93" t="str">
        <f t="shared" si="8"/>
        <v>ALICE BROWN</v>
      </c>
      <c r="L93" s="46" t="str">
        <f t="shared" si="9"/>
        <v>alice brown</v>
      </c>
      <c r="M93" s="46" t="str">
        <f t="shared" si="10"/>
        <v>Alice Brown</v>
      </c>
      <c r="N93" s="46" t="str">
        <f t="shared" si="11"/>
        <v>1091</v>
      </c>
    </row>
    <row r="94" spans="1:14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  <c r="I94" t="str">
        <f t="shared" si="6"/>
        <v>Jane</v>
      </c>
      <c r="J94" t="str">
        <f t="shared" si="7"/>
        <v>mith</v>
      </c>
      <c r="K94" t="str">
        <f t="shared" si="8"/>
        <v>JANE SMITH</v>
      </c>
      <c r="L94" s="46" t="str">
        <f t="shared" si="9"/>
        <v>jane smith</v>
      </c>
      <c r="M94" s="46" t="str">
        <f t="shared" si="10"/>
        <v>Jane Smith</v>
      </c>
      <c r="N94" s="46" t="str">
        <f t="shared" si="11"/>
        <v>1092</v>
      </c>
    </row>
    <row r="95" spans="1:14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  <c r="I95" t="str">
        <f t="shared" si="6"/>
        <v>Alic</v>
      </c>
      <c r="J95" t="str">
        <f t="shared" si="7"/>
        <v>rown</v>
      </c>
      <c r="K95" t="str">
        <f t="shared" si="8"/>
        <v>ALICE BROWN</v>
      </c>
      <c r="L95" s="46" t="str">
        <f t="shared" si="9"/>
        <v>alice brown</v>
      </c>
      <c r="M95" s="46" t="str">
        <f t="shared" si="10"/>
        <v>Alice Brown</v>
      </c>
      <c r="N95" s="46" t="str">
        <f t="shared" si="11"/>
        <v>1093</v>
      </c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  <c r="I96" t="str">
        <f t="shared" si="6"/>
        <v xml:space="preserve">Bob </v>
      </c>
      <c r="J96" t="str">
        <f t="shared" si="7"/>
        <v>nson</v>
      </c>
      <c r="K96" t="str">
        <f t="shared" si="8"/>
        <v>BOB JOHNSON</v>
      </c>
      <c r="L96" s="46" t="str">
        <f t="shared" si="9"/>
        <v>bob johnson</v>
      </c>
      <c r="M96" s="46" t="str">
        <f t="shared" si="10"/>
        <v>Bob Johnson</v>
      </c>
      <c r="N96" s="46" t="str">
        <f t="shared" si="11"/>
        <v>1094</v>
      </c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  <c r="I97" t="str">
        <f t="shared" si="6"/>
        <v>Alic</v>
      </c>
      <c r="J97" t="str">
        <f t="shared" si="7"/>
        <v>rown</v>
      </c>
      <c r="K97" t="str">
        <f t="shared" si="8"/>
        <v>ALICE BROWN</v>
      </c>
      <c r="L97" s="46" t="str">
        <f t="shared" si="9"/>
        <v>alice brown</v>
      </c>
      <c r="M97" s="46" t="str">
        <f t="shared" si="10"/>
        <v>Alice Brown</v>
      </c>
      <c r="N97" s="46" t="str">
        <f t="shared" si="11"/>
        <v>1095</v>
      </c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  <c r="I98" t="str">
        <f t="shared" si="6"/>
        <v>Jane</v>
      </c>
      <c r="J98" t="str">
        <f t="shared" si="7"/>
        <v>mith</v>
      </c>
      <c r="K98" t="str">
        <f t="shared" si="8"/>
        <v>JANE SMITH</v>
      </c>
      <c r="L98" s="46" t="str">
        <f t="shared" si="9"/>
        <v>jane smith</v>
      </c>
      <c r="M98" s="46" t="str">
        <f t="shared" si="10"/>
        <v>Jane Smith</v>
      </c>
      <c r="N98" s="46" t="str">
        <f t="shared" si="11"/>
        <v>1096</v>
      </c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  <c r="I99" t="str">
        <f t="shared" si="6"/>
        <v xml:space="preserve">Sam </v>
      </c>
      <c r="J99" t="str">
        <f t="shared" si="7"/>
        <v>lson</v>
      </c>
      <c r="K99" t="str">
        <f t="shared" si="8"/>
        <v>SAM WILSON</v>
      </c>
      <c r="L99" s="46" t="str">
        <f t="shared" si="9"/>
        <v>sam wilson</v>
      </c>
      <c r="M99" s="46" t="str">
        <f t="shared" si="10"/>
        <v>Sam Wilson</v>
      </c>
      <c r="N99" s="46" t="str">
        <f t="shared" si="11"/>
        <v>1097</v>
      </c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  <c r="I100" t="str">
        <f t="shared" si="6"/>
        <v xml:space="preserve">Bob </v>
      </c>
      <c r="J100" t="str">
        <f t="shared" si="7"/>
        <v>nson</v>
      </c>
      <c r="K100" t="str">
        <f t="shared" si="8"/>
        <v>BOB JOHNSON</v>
      </c>
      <c r="L100" s="46" t="str">
        <f t="shared" si="9"/>
        <v>bob johnson</v>
      </c>
      <c r="M100" s="46" t="str">
        <f t="shared" si="10"/>
        <v>Bob Johnson</v>
      </c>
      <c r="N100" s="46" t="str">
        <f t="shared" si="11"/>
        <v>1098</v>
      </c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  <c r="I101" t="str">
        <f t="shared" si="6"/>
        <v xml:space="preserve">Eve </v>
      </c>
      <c r="J101" t="str">
        <f t="shared" si="7"/>
        <v>dams</v>
      </c>
      <c r="K101" t="str">
        <f t="shared" si="8"/>
        <v>EVE ADAMS</v>
      </c>
      <c r="L101" s="46" t="str">
        <f t="shared" si="9"/>
        <v>eve adams</v>
      </c>
      <c r="M101" s="46" t="str">
        <f t="shared" si="10"/>
        <v>Eve Adams</v>
      </c>
      <c r="N101" s="46" t="str">
        <f t="shared" si="11"/>
        <v>1099</v>
      </c>
    </row>
    <row r="102" spans="1:14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  <c r="I102" t="str">
        <f t="shared" si="6"/>
        <v xml:space="preserve">Bob </v>
      </c>
      <c r="J102" t="str">
        <f t="shared" si="7"/>
        <v>nson</v>
      </c>
      <c r="K102" t="str">
        <f t="shared" si="8"/>
        <v>BOB JOHNSON</v>
      </c>
      <c r="L102" s="46" t="str">
        <f t="shared" si="9"/>
        <v>bob johnson</v>
      </c>
      <c r="M102" s="46" t="str">
        <f t="shared" si="10"/>
        <v>Bob Johnson</v>
      </c>
      <c r="N102" s="46" t="str">
        <f t="shared" si="11"/>
        <v>1100</v>
      </c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  <c r="I103" t="str">
        <f t="shared" si="6"/>
        <v xml:space="preserve">Bob </v>
      </c>
      <c r="J103" t="str">
        <f t="shared" si="7"/>
        <v>nson</v>
      </c>
      <c r="K103" t="str">
        <f t="shared" si="8"/>
        <v>BOB JOHNSON</v>
      </c>
      <c r="L103" s="46" t="str">
        <f t="shared" si="9"/>
        <v>bob johnson</v>
      </c>
      <c r="M103" s="46" t="str">
        <f t="shared" si="10"/>
        <v>Bob Johnson</v>
      </c>
      <c r="N103" s="46" t="str">
        <f t="shared" si="11"/>
        <v>1101</v>
      </c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  <c r="I104" t="str">
        <f t="shared" si="6"/>
        <v>Alic</v>
      </c>
      <c r="J104" t="str">
        <f t="shared" si="7"/>
        <v>rown</v>
      </c>
      <c r="K104" t="str">
        <f t="shared" si="8"/>
        <v>ALICE BROWN</v>
      </c>
      <c r="L104" s="46" t="str">
        <f t="shared" si="9"/>
        <v>alice brown</v>
      </c>
      <c r="M104" s="46" t="str">
        <f t="shared" si="10"/>
        <v>Alice Brown</v>
      </c>
      <c r="N104" s="46" t="str">
        <f t="shared" si="11"/>
        <v>1102</v>
      </c>
    </row>
    <row r="105" spans="1:14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  <c r="I105" t="str">
        <f t="shared" si="6"/>
        <v>Alic</v>
      </c>
      <c r="J105" t="str">
        <f t="shared" si="7"/>
        <v>rown</v>
      </c>
      <c r="K105" t="str">
        <f t="shared" si="8"/>
        <v>ALICE BROWN</v>
      </c>
      <c r="L105" s="46" t="str">
        <f t="shared" si="9"/>
        <v>alice brown</v>
      </c>
      <c r="M105" s="46" t="str">
        <f t="shared" si="10"/>
        <v>Alice Brown</v>
      </c>
      <c r="N105" s="46" t="str">
        <f t="shared" si="11"/>
        <v>1103</v>
      </c>
    </row>
    <row r="106" spans="1:14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  <c r="I106" t="str">
        <f t="shared" si="6"/>
        <v>Jane</v>
      </c>
      <c r="J106" t="str">
        <f t="shared" si="7"/>
        <v>mith</v>
      </c>
      <c r="K106" t="str">
        <f t="shared" si="8"/>
        <v>JANE SMITH</v>
      </c>
      <c r="L106" s="46" t="str">
        <f t="shared" si="9"/>
        <v>jane smith</v>
      </c>
      <c r="M106" s="46" t="str">
        <f t="shared" si="10"/>
        <v>Jane Smith</v>
      </c>
      <c r="N106" s="46" t="str">
        <f t="shared" si="11"/>
        <v>1104</v>
      </c>
    </row>
    <row r="107" spans="1:14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  <c r="I107" t="str">
        <f t="shared" si="6"/>
        <v/>
      </c>
      <c r="J107" t="str">
        <f t="shared" si="7"/>
        <v/>
      </c>
      <c r="K107" t="str">
        <f t="shared" si="8"/>
        <v/>
      </c>
      <c r="L107" s="46" t="str">
        <f t="shared" si="9"/>
        <v/>
      </c>
      <c r="M107" s="46" t="str">
        <f t="shared" si="10"/>
        <v/>
      </c>
      <c r="N107" s="46" t="str">
        <f t="shared" si="11"/>
        <v>1105</v>
      </c>
    </row>
    <row r="108" spans="1:14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  <c r="I108" t="str">
        <f t="shared" si="6"/>
        <v xml:space="preserve">Eve </v>
      </c>
      <c r="J108" t="str">
        <f t="shared" si="7"/>
        <v>dams</v>
      </c>
      <c r="K108" t="str">
        <f t="shared" si="8"/>
        <v>EVE ADAMS</v>
      </c>
      <c r="L108" s="46" t="str">
        <f t="shared" si="9"/>
        <v>eve adams</v>
      </c>
      <c r="M108" s="46" t="str">
        <f t="shared" si="10"/>
        <v>Eve Adams</v>
      </c>
      <c r="N108" s="46" t="str">
        <f t="shared" si="11"/>
        <v>1106</v>
      </c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  <c r="I109" t="str">
        <f t="shared" si="6"/>
        <v xml:space="preserve">Sam </v>
      </c>
      <c r="J109" t="str">
        <f t="shared" si="7"/>
        <v>lson</v>
      </c>
      <c r="K109" t="str">
        <f t="shared" si="8"/>
        <v>SAM WILSON</v>
      </c>
      <c r="L109" s="46" t="str">
        <f t="shared" si="9"/>
        <v>sam wilson</v>
      </c>
      <c r="M109" s="46" t="str">
        <f t="shared" si="10"/>
        <v>Sam Wilson</v>
      </c>
      <c r="N109" s="46" t="str">
        <f t="shared" si="11"/>
        <v>1107</v>
      </c>
    </row>
    <row r="110" spans="1:14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  <c r="I110" t="str">
        <f t="shared" si="6"/>
        <v xml:space="preserve">Sam </v>
      </c>
      <c r="J110" t="str">
        <f t="shared" si="7"/>
        <v>lson</v>
      </c>
      <c r="K110" t="str">
        <f t="shared" si="8"/>
        <v>SAM WILSON</v>
      </c>
      <c r="L110" s="46" t="str">
        <f t="shared" si="9"/>
        <v>sam wilson</v>
      </c>
      <c r="M110" s="46" t="str">
        <f t="shared" si="10"/>
        <v>Sam Wilson</v>
      </c>
      <c r="N110" s="46" t="str">
        <f t="shared" si="11"/>
        <v>1108</v>
      </c>
    </row>
    <row r="111" spans="1:14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  <c r="I111" t="str">
        <f t="shared" si="6"/>
        <v>Jane</v>
      </c>
      <c r="J111" t="str">
        <f t="shared" si="7"/>
        <v>mith</v>
      </c>
      <c r="K111" t="str">
        <f t="shared" si="8"/>
        <v>JANE SMITH</v>
      </c>
      <c r="L111" s="46" t="str">
        <f t="shared" si="9"/>
        <v>jane smith</v>
      </c>
      <c r="M111" s="46" t="str">
        <f t="shared" si="10"/>
        <v>Jane Smith</v>
      </c>
      <c r="N111" s="46" t="str">
        <f t="shared" si="11"/>
        <v>1109</v>
      </c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  <c r="I112" t="str">
        <f t="shared" si="6"/>
        <v>Chri</v>
      </c>
      <c r="J112" t="str">
        <f t="shared" si="7"/>
        <v xml:space="preserve"> Lee</v>
      </c>
      <c r="K112" t="str">
        <f t="shared" si="8"/>
        <v>CHRIS LEE</v>
      </c>
      <c r="L112" s="46" t="str">
        <f t="shared" si="9"/>
        <v>chris lee</v>
      </c>
      <c r="M112" s="46" t="str">
        <f t="shared" si="10"/>
        <v>Chris Lee</v>
      </c>
      <c r="N112" s="46" t="str">
        <f t="shared" si="11"/>
        <v>1110</v>
      </c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  <c r="I113" t="str">
        <f t="shared" si="6"/>
        <v>Chri</v>
      </c>
      <c r="J113" t="str">
        <f t="shared" si="7"/>
        <v xml:space="preserve"> Lee</v>
      </c>
      <c r="K113" t="str">
        <f t="shared" si="8"/>
        <v>CHRIS LEE</v>
      </c>
      <c r="L113" s="46" t="str">
        <f t="shared" si="9"/>
        <v>chris lee</v>
      </c>
      <c r="M113" s="46" t="str">
        <f t="shared" si="10"/>
        <v>Chris Lee</v>
      </c>
      <c r="N113" s="46" t="str">
        <f t="shared" si="11"/>
        <v>1111</v>
      </c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  <c r="I114" t="str">
        <f t="shared" si="6"/>
        <v xml:space="preserve">Eve </v>
      </c>
      <c r="J114" t="str">
        <f t="shared" si="7"/>
        <v>dams</v>
      </c>
      <c r="K114" t="str">
        <f t="shared" si="8"/>
        <v>EVE ADAMS</v>
      </c>
      <c r="L114" s="46" t="str">
        <f t="shared" si="9"/>
        <v>eve adams</v>
      </c>
      <c r="M114" s="46" t="str">
        <f t="shared" si="10"/>
        <v>Eve Adams</v>
      </c>
      <c r="N114" s="46" t="str">
        <f t="shared" si="11"/>
        <v>1112</v>
      </c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  <c r="I115" t="str">
        <f t="shared" si="6"/>
        <v>Alic</v>
      </c>
      <c r="J115" t="str">
        <f t="shared" si="7"/>
        <v>rown</v>
      </c>
      <c r="K115" t="str">
        <f t="shared" si="8"/>
        <v>ALICE BROWN</v>
      </c>
      <c r="L115" s="46" t="str">
        <f t="shared" si="9"/>
        <v>alice brown</v>
      </c>
      <c r="M115" s="46" t="str">
        <f t="shared" si="10"/>
        <v>Alice Brown</v>
      </c>
      <c r="N115" s="46" t="str">
        <f t="shared" si="11"/>
        <v>1113</v>
      </c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  <c r="I116" t="str">
        <f t="shared" si="6"/>
        <v xml:space="preserve">Eve </v>
      </c>
      <c r="J116" t="str">
        <f t="shared" si="7"/>
        <v>dams</v>
      </c>
      <c r="K116" t="str">
        <f t="shared" si="8"/>
        <v>EVE ADAMS</v>
      </c>
      <c r="L116" s="46" t="str">
        <f t="shared" si="9"/>
        <v>eve adams</v>
      </c>
      <c r="M116" s="46" t="str">
        <f t="shared" si="10"/>
        <v>Eve Adams</v>
      </c>
      <c r="N116" s="46" t="str">
        <f t="shared" si="11"/>
        <v>1114</v>
      </c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  <c r="I117" t="str">
        <f t="shared" si="6"/>
        <v xml:space="preserve">Bob </v>
      </c>
      <c r="J117" t="str">
        <f t="shared" si="7"/>
        <v>nson</v>
      </c>
      <c r="K117" t="str">
        <f t="shared" si="8"/>
        <v>BOB JOHNSON</v>
      </c>
      <c r="L117" s="46" t="str">
        <f t="shared" si="9"/>
        <v>bob johnson</v>
      </c>
      <c r="M117" s="46" t="str">
        <f t="shared" si="10"/>
        <v>Bob Johnson</v>
      </c>
      <c r="N117" s="46" t="str">
        <f t="shared" si="11"/>
        <v>1115</v>
      </c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  <c r="I118" t="str">
        <f t="shared" si="6"/>
        <v xml:space="preserve">Bob </v>
      </c>
      <c r="J118" t="str">
        <f t="shared" si="7"/>
        <v>nson</v>
      </c>
      <c r="K118" t="str">
        <f t="shared" si="8"/>
        <v>BOB JOHNSON</v>
      </c>
      <c r="L118" s="46" t="str">
        <f t="shared" si="9"/>
        <v>bob johnson</v>
      </c>
      <c r="M118" s="46" t="str">
        <f t="shared" si="10"/>
        <v>Bob Johnson</v>
      </c>
      <c r="N118" s="46" t="str">
        <f t="shared" si="11"/>
        <v>1116</v>
      </c>
    </row>
    <row r="119" spans="1:14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  <c r="I119" t="str">
        <f t="shared" si="6"/>
        <v xml:space="preserve">Bob </v>
      </c>
      <c r="J119" t="str">
        <f t="shared" si="7"/>
        <v>nson</v>
      </c>
      <c r="K119" t="str">
        <f t="shared" si="8"/>
        <v>BOB JOHNSON</v>
      </c>
      <c r="L119" s="46" t="str">
        <f t="shared" si="9"/>
        <v>bob johnson</v>
      </c>
      <c r="M119" s="46" t="str">
        <f t="shared" si="10"/>
        <v>Bob Johnson</v>
      </c>
      <c r="N119" s="46" t="str">
        <f t="shared" si="11"/>
        <v>1117</v>
      </c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  <c r="I120" t="str">
        <f t="shared" si="6"/>
        <v>Chri</v>
      </c>
      <c r="J120" t="str">
        <f t="shared" si="7"/>
        <v xml:space="preserve"> Lee</v>
      </c>
      <c r="K120" t="str">
        <f t="shared" si="8"/>
        <v>CHRIS LEE</v>
      </c>
      <c r="L120" s="46" t="str">
        <f t="shared" si="9"/>
        <v>chris lee</v>
      </c>
      <c r="M120" s="46" t="str">
        <f t="shared" si="10"/>
        <v>Chris Lee</v>
      </c>
      <c r="N120" s="46" t="str">
        <f t="shared" si="11"/>
        <v>1118</v>
      </c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  <c r="I121" t="str">
        <f t="shared" si="6"/>
        <v xml:space="preserve">Eve </v>
      </c>
      <c r="J121" t="str">
        <f t="shared" si="7"/>
        <v>dams</v>
      </c>
      <c r="K121" t="str">
        <f t="shared" si="8"/>
        <v>EVE ADAMS</v>
      </c>
      <c r="L121" s="46" t="str">
        <f t="shared" si="9"/>
        <v>eve adams</v>
      </c>
      <c r="M121" s="46" t="str">
        <f t="shared" si="10"/>
        <v>Eve Adams</v>
      </c>
      <c r="N121" s="46" t="str">
        <f t="shared" si="11"/>
        <v>1119</v>
      </c>
    </row>
    <row r="122" spans="1:14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  <c r="I122" t="str">
        <f t="shared" si="6"/>
        <v/>
      </c>
      <c r="J122" t="str">
        <f t="shared" si="7"/>
        <v/>
      </c>
      <c r="K122" t="str">
        <f t="shared" si="8"/>
        <v/>
      </c>
      <c r="L122" s="46" t="str">
        <f t="shared" si="9"/>
        <v/>
      </c>
      <c r="M122" s="46" t="str">
        <f t="shared" si="10"/>
        <v/>
      </c>
      <c r="N122" s="46" t="str">
        <f t="shared" si="11"/>
        <v>1120</v>
      </c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  <c r="I123" t="str">
        <f t="shared" si="6"/>
        <v>Chri</v>
      </c>
      <c r="J123" t="str">
        <f t="shared" si="7"/>
        <v xml:space="preserve"> Lee</v>
      </c>
      <c r="K123" t="str">
        <f t="shared" si="8"/>
        <v>CHRIS LEE</v>
      </c>
      <c r="L123" s="46" t="str">
        <f t="shared" si="9"/>
        <v>chris lee</v>
      </c>
      <c r="M123" s="46" t="str">
        <f t="shared" si="10"/>
        <v>Chris Lee</v>
      </c>
      <c r="N123" s="46" t="str">
        <f t="shared" si="11"/>
        <v>1121</v>
      </c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  <c r="I124" t="str">
        <f t="shared" si="6"/>
        <v xml:space="preserve">Bob </v>
      </c>
      <c r="J124" t="str">
        <f t="shared" si="7"/>
        <v>nson</v>
      </c>
      <c r="K124" t="str">
        <f t="shared" si="8"/>
        <v>BOB JOHNSON</v>
      </c>
      <c r="L124" s="46" t="str">
        <f t="shared" si="9"/>
        <v>bob johnson</v>
      </c>
      <c r="M124" s="46" t="str">
        <f t="shared" si="10"/>
        <v>Bob Johnson</v>
      </c>
      <c r="N124" s="46" t="str">
        <f t="shared" si="11"/>
        <v>1122</v>
      </c>
    </row>
    <row r="125" spans="1:14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  <c r="I125" t="str">
        <f t="shared" si="6"/>
        <v>Jane</v>
      </c>
      <c r="J125" t="str">
        <f t="shared" si="7"/>
        <v>mith</v>
      </c>
      <c r="K125" t="str">
        <f t="shared" si="8"/>
        <v>JANE SMITH</v>
      </c>
      <c r="L125" s="46" t="str">
        <f t="shared" si="9"/>
        <v>jane smith</v>
      </c>
      <c r="M125" s="46" t="str">
        <f t="shared" si="10"/>
        <v>Jane Smith</v>
      </c>
      <c r="N125" s="46" t="str">
        <f t="shared" si="11"/>
        <v>1123</v>
      </c>
    </row>
    <row r="126" spans="1:14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  <c r="I126" t="str">
        <f t="shared" si="6"/>
        <v>John</v>
      </c>
      <c r="J126" t="str">
        <f t="shared" si="7"/>
        <v xml:space="preserve"> Doe</v>
      </c>
      <c r="K126" t="str">
        <f t="shared" si="8"/>
        <v>JOHN DOE</v>
      </c>
      <c r="L126" s="46" t="str">
        <f t="shared" si="9"/>
        <v>john doe</v>
      </c>
      <c r="M126" s="46" t="str">
        <f t="shared" si="10"/>
        <v>John Doe</v>
      </c>
      <c r="N126" s="46" t="str">
        <f t="shared" si="11"/>
        <v>1124</v>
      </c>
    </row>
    <row r="127" spans="1:14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  <c r="I127" t="str">
        <f t="shared" si="6"/>
        <v>John</v>
      </c>
      <c r="J127" t="str">
        <f t="shared" si="7"/>
        <v xml:space="preserve"> Doe</v>
      </c>
      <c r="K127" t="str">
        <f t="shared" si="8"/>
        <v>JOHN DOE</v>
      </c>
      <c r="L127" s="46" t="str">
        <f t="shared" si="9"/>
        <v>john doe</v>
      </c>
      <c r="M127" s="46" t="str">
        <f t="shared" si="10"/>
        <v>John Doe</v>
      </c>
      <c r="N127" s="46" t="str">
        <f t="shared" si="11"/>
        <v>1125</v>
      </c>
    </row>
    <row r="128" spans="1:14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  <c r="I128" t="str">
        <f t="shared" si="6"/>
        <v xml:space="preserve">Bob </v>
      </c>
      <c r="J128" t="str">
        <f t="shared" si="7"/>
        <v>nson</v>
      </c>
      <c r="K128" t="str">
        <f t="shared" si="8"/>
        <v>BOB JOHNSON</v>
      </c>
      <c r="L128" s="46" t="str">
        <f t="shared" si="9"/>
        <v>bob johnson</v>
      </c>
      <c r="M128" s="46" t="str">
        <f t="shared" si="10"/>
        <v>Bob Johnson</v>
      </c>
      <c r="N128" s="46" t="str">
        <f t="shared" si="11"/>
        <v>1126</v>
      </c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  <c r="I129" t="str">
        <f t="shared" si="6"/>
        <v>John</v>
      </c>
      <c r="J129" t="str">
        <f t="shared" si="7"/>
        <v xml:space="preserve"> Doe</v>
      </c>
      <c r="K129" t="str">
        <f t="shared" si="8"/>
        <v>JOHN DOE</v>
      </c>
      <c r="L129" s="46" t="str">
        <f t="shared" si="9"/>
        <v>john doe</v>
      </c>
      <c r="M129" s="46" t="str">
        <f t="shared" si="10"/>
        <v>John Doe</v>
      </c>
      <c r="N129" s="46" t="str">
        <f t="shared" si="11"/>
        <v>1127</v>
      </c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  <c r="I130" t="str">
        <f t="shared" ref="I130:I151" si="12">LEFT(B130,4)</f>
        <v>Chri</v>
      </c>
      <c r="J130" t="str">
        <f t="shared" ref="J130:J151" si="13">RIGHT(B130,4)</f>
        <v xml:space="preserve"> Lee</v>
      </c>
      <c r="K130" t="str">
        <f t="shared" ref="K130:K151" si="14">UPPER(B130)</f>
        <v>CHRIS LEE</v>
      </c>
      <c r="L130" s="46" t="str">
        <f t="shared" ref="L130:L151" si="15">LOWER(B130)</f>
        <v>chris lee</v>
      </c>
      <c r="M130" s="46" t="str">
        <f t="shared" ref="M130:M151" si="16">PROPER(B130)</f>
        <v>Chris Lee</v>
      </c>
      <c r="N130" s="46" t="str">
        <f t="shared" ref="N130:N151" si="17">MID(A130,4,4)</f>
        <v>1128</v>
      </c>
    </row>
    <row r="131" spans="1:14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  <c r="I131" t="str">
        <f t="shared" si="12"/>
        <v xml:space="preserve">Bob </v>
      </c>
      <c r="J131" t="str">
        <f t="shared" si="13"/>
        <v>nson</v>
      </c>
      <c r="K131" t="str">
        <f t="shared" si="14"/>
        <v>BOB JOHNSON</v>
      </c>
      <c r="L131" s="46" t="str">
        <f t="shared" si="15"/>
        <v>bob johnson</v>
      </c>
      <c r="M131" s="46" t="str">
        <f t="shared" si="16"/>
        <v>Bob Johnson</v>
      </c>
      <c r="N131" s="46" t="str">
        <f t="shared" si="17"/>
        <v>1129</v>
      </c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  <c r="I132" t="str">
        <f t="shared" si="12"/>
        <v>Alic</v>
      </c>
      <c r="J132" t="str">
        <f t="shared" si="13"/>
        <v>rown</v>
      </c>
      <c r="K132" t="str">
        <f t="shared" si="14"/>
        <v>ALICE BROWN</v>
      </c>
      <c r="L132" s="46" t="str">
        <f t="shared" si="15"/>
        <v>alice brown</v>
      </c>
      <c r="M132" s="46" t="str">
        <f t="shared" si="16"/>
        <v>Alice Brown</v>
      </c>
      <c r="N132" s="46" t="str">
        <f t="shared" si="17"/>
        <v>1130</v>
      </c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  <c r="I133" t="str">
        <f t="shared" si="12"/>
        <v xml:space="preserve">Sam </v>
      </c>
      <c r="J133" t="str">
        <f t="shared" si="13"/>
        <v>lson</v>
      </c>
      <c r="K133" t="str">
        <f t="shared" si="14"/>
        <v>SAM WILSON</v>
      </c>
      <c r="L133" s="46" t="str">
        <f t="shared" si="15"/>
        <v>sam wilson</v>
      </c>
      <c r="M133" s="46" t="str">
        <f t="shared" si="16"/>
        <v>Sam Wilson</v>
      </c>
      <c r="N133" s="46" t="str">
        <f t="shared" si="17"/>
        <v>1131</v>
      </c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  <c r="I134" t="str">
        <f t="shared" si="12"/>
        <v xml:space="preserve">Eve </v>
      </c>
      <c r="J134" t="str">
        <f t="shared" si="13"/>
        <v>dams</v>
      </c>
      <c r="K134" t="str">
        <f t="shared" si="14"/>
        <v>EVE ADAMS</v>
      </c>
      <c r="L134" s="46" t="str">
        <f t="shared" si="15"/>
        <v>eve adams</v>
      </c>
      <c r="M134" s="46" t="str">
        <f t="shared" si="16"/>
        <v>Eve Adams</v>
      </c>
      <c r="N134" s="46" t="str">
        <f t="shared" si="17"/>
        <v>1132</v>
      </c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  <c r="I135" t="str">
        <f t="shared" si="12"/>
        <v>Chri</v>
      </c>
      <c r="J135" t="str">
        <f t="shared" si="13"/>
        <v xml:space="preserve"> Lee</v>
      </c>
      <c r="K135" t="str">
        <f t="shared" si="14"/>
        <v>CHRIS LEE</v>
      </c>
      <c r="L135" s="46" t="str">
        <f t="shared" si="15"/>
        <v>chris lee</v>
      </c>
      <c r="M135" s="46" t="str">
        <f t="shared" si="16"/>
        <v>Chris Lee</v>
      </c>
      <c r="N135" s="46" t="str">
        <f t="shared" si="17"/>
        <v>1133</v>
      </c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  <c r="I136" t="str">
        <f t="shared" si="12"/>
        <v xml:space="preserve">Eve </v>
      </c>
      <c r="J136" t="str">
        <f t="shared" si="13"/>
        <v>dams</v>
      </c>
      <c r="K136" t="str">
        <f t="shared" si="14"/>
        <v>EVE ADAMS</v>
      </c>
      <c r="L136" s="46" t="str">
        <f t="shared" si="15"/>
        <v>eve adams</v>
      </c>
      <c r="M136" s="46" t="str">
        <f t="shared" si="16"/>
        <v>Eve Adams</v>
      </c>
      <c r="N136" s="46" t="str">
        <f t="shared" si="17"/>
        <v>1134</v>
      </c>
    </row>
    <row r="137" spans="1:14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  <c r="I137" t="str">
        <f t="shared" si="12"/>
        <v/>
      </c>
      <c r="J137" t="str">
        <f t="shared" si="13"/>
        <v/>
      </c>
      <c r="K137" t="str">
        <f t="shared" si="14"/>
        <v/>
      </c>
      <c r="L137" s="46" t="str">
        <f t="shared" si="15"/>
        <v/>
      </c>
      <c r="M137" s="46" t="str">
        <f t="shared" si="16"/>
        <v/>
      </c>
      <c r="N137" s="46" t="str">
        <f t="shared" si="17"/>
        <v>1135</v>
      </c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  <c r="I138" t="str">
        <f t="shared" si="12"/>
        <v>Jane</v>
      </c>
      <c r="J138" t="str">
        <f t="shared" si="13"/>
        <v>mith</v>
      </c>
      <c r="K138" t="str">
        <f t="shared" si="14"/>
        <v>JANE SMITH</v>
      </c>
      <c r="L138" s="46" t="str">
        <f t="shared" si="15"/>
        <v>jane smith</v>
      </c>
      <c r="M138" s="46" t="str">
        <f t="shared" si="16"/>
        <v>Jane Smith</v>
      </c>
      <c r="N138" s="46" t="str">
        <f t="shared" si="17"/>
        <v>1136</v>
      </c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  <c r="I139" t="str">
        <f t="shared" si="12"/>
        <v>Chri</v>
      </c>
      <c r="J139" t="str">
        <f t="shared" si="13"/>
        <v xml:space="preserve"> Lee</v>
      </c>
      <c r="K139" t="str">
        <f t="shared" si="14"/>
        <v>CHRIS LEE</v>
      </c>
      <c r="L139" s="46" t="str">
        <f t="shared" si="15"/>
        <v>chris lee</v>
      </c>
      <c r="M139" s="46" t="str">
        <f t="shared" si="16"/>
        <v>Chris Lee</v>
      </c>
      <c r="N139" s="46" t="str">
        <f t="shared" si="17"/>
        <v>1137</v>
      </c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  <c r="I140" t="str">
        <f t="shared" si="12"/>
        <v>Chri</v>
      </c>
      <c r="J140" t="str">
        <f t="shared" si="13"/>
        <v xml:space="preserve"> Lee</v>
      </c>
      <c r="K140" t="str">
        <f t="shared" si="14"/>
        <v>CHRIS LEE</v>
      </c>
      <c r="L140" s="46" t="str">
        <f t="shared" si="15"/>
        <v>chris lee</v>
      </c>
      <c r="M140" s="46" t="str">
        <f t="shared" si="16"/>
        <v>Chris Lee</v>
      </c>
      <c r="N140" s="46" t="str">
        <f t="shared" si="17"/>
        <v>1138</v>
      </c>
    </row>
    <row r="141" spans="1:14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  <c r="I141" t="str">
        <f t="shared" si="12"/>
        <v xml:space="preserve">Bob </v>
      </c>
      <c r="J141" t="str">
        <f t="shared" si="13"/>
        <v>nson</v>
      </c>
      <c r="K141" t="str">
        <f t="shared" si="14"/>
        <v>BOB JOHNSON</v>
      </c>
      <c r="L141" s="46" t="str">
        <f t="shared" si="15"/>
        <v>bob johnson</v>
      </c>
      <c r="M141" s="46" t="str">
        <f t="shared" si="16"/>
        <v>Bob Johnson</v>
      </c>
      <c r="N141" s="46" t="str">
        <f t="shared" si="17"/>
        <v>1139</v>
      </c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  <c r="I142" t="str">
        <f t="shared" si="12"/>
        <v>Chri</v>
      </c>
      <c r="J142" t="str">
        <f t="shared" si="13"/>
        <v xml:space="preserve"> Lee</v>
      </c>
      <c r="K142" t="str">
        <f t="shared" si="14"/>
        <v>CHRIS LEE</v>
      </c>
      <c r="L142" s="46" t="str">
        <f t="shared" si="15"/>
        <v>chris lee</v>
      </c>
      <c r="M142" s="46" t="str">
        <f t="shared" si="16"/>
        <v>Chris Lee</v>
      </c>
      <c r="N142" s="46" t="str">
        <f t="shared" si="17"/>
        <v>1140</v>
      </c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  <c r="I143" t="str">
        <f t="shared" si="12"/>
        <v>Jane</v>
      </c>
      <c r="J143" t="str">
        <f t="shared" si="13"/>
        <v>mith</v>
      </c>
      <c r="K143" t="str">
        <f t="shared" si="14"/>
        <v>JANE SMITH</v>
      </c>
      <c r="L143" s="46" t="str">
        <f t="shared" si="15"/>
        <v>jane smith</v>
      </c>
      <c r="M143" s="46" t="str">
        <f t="shared" si="16"/>
        <v>Jane Smith</v>
      </c>
      <c r="N143" s="46" t="str">
        <f t="shared" si="17"/>
        <v>1141</v>
      </c>
    </row>
    <row r="144" spans="1:14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  <c r="I144" t="str">
        <f t="shared" si="12"/>
        <v>Alic</v>
      </c>
      <c r="J144" t="str">
        <f t="shared" si="13"/>
        <v>rown</v>
      </c>
      <c r="K144" t="str">
        <f t="shared" si="14"/>
        <v>ALICE BROWN</v>
      </c>
      <c r="L144" s="46" t="str">
        <f t="shared" si="15"/>
        <v>alice brown</v>
      </c>
      <c r="M144" s="46" t="str">
        <f t="shared" si="16"/>
        <v>Alice Brown</v>
      </c>
      <c r="N144" s="46" t="str">
        <f t="shared" si="17"/>
        <v>1142</v>
      </c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  <c r="I145" t="str">
        <f t="shared" si="12"/>
        <v>Chri</v>
      </c>
      <c r="J145" t="str">
        <f t="shared" si="13"/>
        <v xml:space="preserve"> Lee</v>
      </c>
      <c r="K145" t="str">
        <f t="shared" si="14"/>
        <v>CHRIS LEE</v>
      </c>
      <c r="L145" s="46" t="str">
        <f t="shared" si="15"/>
        <v>chris lee</v>
      </c>
      <c r="M145" s="46" t="str">
        <f t="shared" si="16"/>
        <v>Chris Lee</v>
      </c>
      <c r="N145" s="46" t="str">
        <f t="shared" si="17"/>
        <v>1143</v>
      </c>
    </row>
    <row r="146" spans="1:14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  <c r="I146" t="str">
        <f t="shared" si="12"/>
        <v xml:space="preserve">Eve </v>
      </c>
      <c r="J146" t="str">
        <f t="shared" si="13"/>
        <v>dams</v>
      </c>
      <c r="K146" t="str">
        <f t="shared" si="14"/>
        <v>EVE ADAMS</v>
      </c>
      <c r="L146" s="46" t="str">
        <f t="shared" si="15"/>
        <v>eve adams</v>
      </c>
      <c r="M146" s="46" t="str">
        <f t="shared" si="16"/>
        <v>Eve Adams</v>
      </c>
      <c r="N146" s="46" t="str">
        <f t="shared" si="17"/>
        <v>1144</v>
      </c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  <c r="I147" t="str">
        <f t="shared" si="12"/>
        <v xml:space="preserve">Sam </v>
      </c>
      <c r="J147" t="str">
        <f t="shared" si="13"/>
        <v>lson</v>
      </c>
      <c r="K147" t="str">
        <f t="shared" si="14"/>
        <v>SAM WILSON</v>
      </c>
      <c r="L147" s="46" t="str">
        <f t="shared" si="15"/>
        <v>sam wilson</v>
      </c>
      <c r="M147" s="46" t="str">
        <f t="shared" si="16"/>
        <v>Sam Wilson</v>
      </c>
      <c r="N147" s="46" t="str">
        <f t="shared" si="17"/>
        <v>1145</v>
      </c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  <c r="I148" t="str">
        <f t="shared" si="12"/>
        <v>John</v>
      </c>
      <c r="J148" t="str">
        <f t="shared" si="13"/>
        <v xml:space="preserve"> Doe</v>
      </c>
      <c r="K148" t="str">
        <f t="shared" si="14"/>
        <v>JOHN DOE</v>
      </c>
      <c r="L148" s="46" t="str">
        <f t="shared" si="15"/>
        <v>john doe</v>
      </c>
      <c r="M148" s="46" t="str">
        <f t="shared" si="16"/>
        <v>John Doe</v>
      </c>
      <c r="N148" s="46" t="str">
        <f t="shared" si="17"/>
        <v>1146</v>
      </c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  <c r="I149" t="str">
        <f t="shared" si="12"/>
        <v xml:space="preserve">Bob </v>
      </c>
      <c r="J149" t="str">
        <f t="shared" si="13"/>
        <v>nson</v>
      </c>
      <c r="K149" t="str">
        <f t="shared" si="14"/>
        <v>BOB JOHNSON</v>
      </c>
      <c r="L149" s="46" t="str">
        <f t="shared" si="15"/>
        <v>bob johnson</v>
      </c>
      <c r="M149" s="46" t="str">
        <f t="shared" si="16"/>
        <v>Bob Johnson</v>
      </c>
      <c r="N149" s="46" t="str">
        <f t="shared" si="17"/>
        <v>1147</v>
      </c>
    </row>
    <row r="150" spans="1:14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  <c r="I150" t="str">
        <f t="shared" si="12"/>
        <v xml:space="preserve">Bob </v>
      </c>
      <c r="J150" t="str">
        <f t="shared" si="13"/>
        <v>nson</v>
      </c>
      <c r="K150" t="str">
        <f t="shared" si="14"/>
        <v>BOB JOHNSON</v>
      </c>
      <c r="L150" s="46" t="str">
        <f t="shared" si="15"/>
        <v>bob johnson</v>
      </c>
      <c r="M150" s="46" t="str">
        <f t="shared" si="16"/>
        <v>Bob Johnson</v>
      </c>
      <c r="N150" s="46" t="str">
        <f t="shared" si="17"/>
        <v>1148</v>
      </c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  <c r="I151" t="str">
        <f t="shared" si="12"/>
        <v xml:space="preserve">Sam </v>
      </c>
      <c r="J151" t="str">
        <f t="shared" si="13"/>
        <v>lson</v>
      </c>
      <c r="K151" t="str">
        <f t="shared" si="14"/>
        <v>SAM WILSON</v>
      </c>
      <c r="L151" s="46" t="str">
        <f t="shared" si="15"/>
        <v>sam wilson</v>
      </c>
      <c r="M151" s="46" t="str">
        <f t="shared" si="16"/>
        <v>Sam Wilson</v>
      </c>
      <c r="N151" s="46" t="str">
        <f t="shared" si="17"/>
        <v>1149</v>
      </c>
    </row>
    <row r="155" spans="1:14" x14ac:dyDescent="0.35">
      <c r="F155"/>
    </row>
    <row r="156" spans="1:14" x14ac:dyDescent="0.35">
      <c r="E156"/>
      <c r="F156"/>
    </row>
    <row r="157" spans="1:14" x14ac:dyDescent="0.35">
      <c r="E157"/>
      <c r="F157"/>
    </row>
    <row r="158" spans="1:14" x14ac:dyDescent="0.35">
      <c r="E158"/>
      <c r="F158"/>
    </row>
    <row r="159" spans="1:14" x14ac:dyDescent="0.35">
      <c r="E159"/>
      <c r="F159"/>
    </row>
    <row r="160" spans="1:14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53" priority="18">
      <formula>LEN(TRIM(B1))=0</formula>
    </cfRule>
    <cfRule type="containsBlanks" dxfId="52" priority="19">
      <formula>LEN(TRIM(B1))=0</formula>
    </cfRule>
    <cfRule type="timePeriod" dxfId="51" priority="23" timePeriod="yesterday">
      <formula>FLOOR(B1,1)=TODAY()-1</formula>
    </cfRule>
    <cfRule type="containsBlanks" dxfId="50" priority="24">
      <formula>LEN(TRIM(B1))=0</formula>
    </cfRule>
  </conditionalFormatting>
  <conditionalFormatting sqref="C1:C151 C357:C1048576">
    <cfRule type="containsBlanks" dxfId="49" priority="21">
      <formula>LEN(TRIM(C1))=0</formula>
    </cfRule>
    <cfRule type="containsBlanks" dxfId="48" priority="22">
      <formula>LEN(TRIM(C1))=0</formula>
    </cfRule>
  </conditionalFormatting>
  <conditionalFormatting sqref="D1:D151 D357:D1048576">
    <cfRule type="containsBlanks" dxfId="47" priority="20">
      <formula>LEN(TRIM(D1))=0</formula>
    </cfRule>
  </conditionalFormatting>
  <conditionalFormatting sqref="E1:E151 E357:E1048576">
    <cfRule type="containsText" dxfId="46" priority="12" operator="containsText" text="N/A">
      <formula>NOT(ISERROR(SEARCH("N/A",E1)))</formula>
    </cfRule>
    <cfRule type="containsBlanks" dxfId="45" priority="17">
      <formula>LEN(TRIM(E1))=0</formula>
    </cfRule>
  </conditionalFormatting>
  <conditionalFormatting sqref="F1:F151 F357:F1048576">
    <cfRule type="containsBlanks" dxfId="44" priority="16">
      <formula>LEN(TRIM(F1))=0</formula>
    </cfRule>
  </conditionalFormatting>
  <conditionalFormatting sqref="G1:G151 G357:G1048576">
    <cfRule type="containsText" dxfId="43" priority="3" operator="containsText" text="other">
      <formula>NOT(ISERROR(SEARCH("other",G1)))</formula>
    </cfRule>
    <cfRule type="containsText" dxfId="42" priority="4" operator="containsText" text="other">
      <formula>NOT(ISERROR(SEARCH("other",G1)))</formula>
    </cfRule>
    <cfRule type="containsText" dxfId="41" priority="5" operator="containsText" text="others">
      <formula>NOT(ISERROR(SEARCH("others",G1)))</formula>
    </cfRule>
    <cfRule type="containsText" dxfId="40" priority="6" operator="containsText" text="others">
      <formula>NOT(ISERROR(SEARCH("others",G1)))</formula>
    </cfRule>
    <cfRule type="containsText" dxfId="39" priority="7" operator="containsText" text="others">
      <formula>NOT(ISERROR(SEARCH("others",G1)))</formula>
    </cfRule>
    <cfRule type="containsText" dxfId="38" priority="8" operator="containsText" text="female">
      <formula>NOT(ISERROR(SEARCH("female",G1)))</formula>
    </cfRule>
    <cfRule type="containsText" dxfId="37" priority="9" operator="containsText" text="male">
      <formula>NOT(ISERROR(SEARCH("male",G1)))</formula>
    </cfRule>
    <cfRule type="containsText" dxfId="36" priority="10" operator="containsText" text="unknown">
      <formula>NOT(ISERROR(SEARCH("unknown",G1)))</formula>
    </cfRule>
    <cfRule type="cellIs" dxfId="35" priority="11" operator="greaterThan">
      <formula>"unknown"</formula>
    </cfRule>
    <cfRule type="containsBlanks" dxfId="34" priority="15">
      <formula>LEN(TRIM(G1))=0</formula>
    </cfRule>
  </conditionalFormatting>
  <conditionalFormatting sqref="H1:H151 H357:H1048576">
    <cfRule type="containsText" dxfId="33" priority="1" operator="containsText" text="invalid_email">
      <formula>NOT(ISERROR(SEARCH("invalid_email",H1)))</formula>
    </cfRule>
    <cfRule type="containsText" dxfId="32" priority="2" operator="containsText" text="invalid_email">
      <formula>NOT(ISERROR(SEARCH("invalid_email",H1)))</formula>
    </cfRule>
    <cfRule type="containsBlanks" dxfId="31" priority="13">
      <formula>LEN(TRIM(H1))=0</formula>
    </cfRule>
    <cfRule type="containsBlanks" dxfId="30" priority="14">
      <formula>LEN(TRIM(H1))=0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selection activeCell="F1" sqref="F1"/>
    </sheetView>
  </sheetViews>
  <sheetFormatPr defaultRowHeight="14.5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08984375" customWidth="1"/>
    <col min="6" max="6" width="19.54296875" customWidth="1"/>
    <col min="7" max="7" width="19.81640625" customWidth="1"/>
    <col min="8" max="8" width="9.26953125" customWidth="1"/>
    <col min="9" max="9" width="20.6328125" bestFit="1" customWidth="1"/>
  </cols>
  <sheetData>
    <row r="1" spans="1:11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9" t="s">
        <v>8</v>
      </c>
      <c r="J1" s="57"/>
      <c r="K1" s="57"/>
    </row>
    <row r="2" spans="1:11" x14ac:dyDescent="0.35">
      <c r="A2" s="61" t="s">
        <v>9</v>
      </c>
      <c r="B2" s="50"/>
      <c r="C2" s="50" t="s">
        <v>166</v>
      </c>
      <c r="D2" s="50" t="s">
        <v>171</v>
      </c>
      <c r="E2" s="50" t="s">
        <v>177</v>
      </c>
      <c r="F2" s="50"/>
      <c r="G2" s="50">
        <v>2</v>
      </c>
      <c r="H2" s="50" t="s">
        <v>178</v>
      </c>
      <c r="I2" s="52" t="s">
        <v>182</v>
      </c>
      <c r="J2" s="50"/>
      <c r="K2" s="50"/>
    </row>
    <row r="3" spans="1:11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50">
        <v>54255</v>
      </c>
      <c r="F3" s="51">
        <v>42015</v>
      </c>
      <c r="G3" s="50">
        <v>1</v>
      </c>
      <c r="H3" s="50" t="s">
        <v>179</v>
      </c>
      <c r="I3" s="52" t="s">
        <v>183</v>
      </c>
      <c r="J3" s="50"/>
      <c r="K3" s="50"/>
    </row>
    <row r="4" spans="1:11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50">
        <v>63184</v>
      </c>
      <c r="F4" s="51">
        <v>42022</v>
      </c>
      <c r="G4" s="50">
        <v>2</v>
      </c>
      <c r="H4" s="50"/>
      <c r="I4" s="52" t="s">
        <v>184</v>
      </c>
      <c r="J4" s="50"/>
      <c r="K4" s="50"/>
    </row>
    <row r="5" spans="1:11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50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/>
      <c r="K5" s="50"/>
    </row>
    <row r="6" spans="1:11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50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/>
      <c r="K6" s="50"/>
    </row>
    <row r="7" spans="1:11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50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/>
      <c r="K7" s="50"/>
    </row>
    <row r="8" spans="1:11" x14ac:dyDescent="0.35">
      <c r="A8" s="61" t="s">
        <v>15</v>
      </c>
      <c r="B8" s="50" t="s">
        <v>163</v>
      </c>
      <c r="C8" s="50" t="s">
        <v>168</v>
      </c>
      <c r="D8" s="50"/>
      <c r="E8" s="50">
        <v>67721</v>
      </c>
      <c r="F8" s="51">
        <v>42050</v>
      </c>
      <c r="G8" s="50"/>
      <c r="H8" s="50" t="s">
        <v>180</v>
      </c>
      <c r="I8" s="52" t="s">
        <v>185</v>
      </c>
      <c r="J8" s="50"/>
      <c r="K8" s="50"/>
    </row>
    <row r="9" spans="1:11" x14ac:dyDescent="0.35">
      <c r="A9" s="61" t="s">
        <v>16</v>
      </c>
      <c r="B9" s="50" t="s">
        <v>164</v>
      </c>
      <c r="C9" s="50" t="s">
        <v>170</v>
      </c>
      <c r="D9" s="50"/>
      <c r="E9" s="50">
        <v>35364</v>
      </c>
      <c r="F9" s="51">
        <v>42057</v>
      </c>
      <c r="G9" s="50">
        <v>2</v>
      </c>
      <c r="H9" s="50" t="s">
        <v>179</v>
      </c>
      <c r="I9" s="52" t="s">
        <v>188</v>
      </c>
      <c r="J9" s="50"/>
      <c r="K9" s="50"/>
    </row>
    <row r="10" spans="1:11" x14ac:dyDescent="0.35">
      <c r="A10" s="61" t="s">
        <v>17</v>
      </c>
      <c r="B10" s="50" t="s">
        <v>160</v>
      </c>
      <c r="C10" s="50" t="s">
        <v>169</v>
      </c>
      <c r="D10" s="50" t="s">
        <v>172</v>
      </c>
      <c r="E10" s="50">
        <v>97881</v>
      </c>
      <c r="F10" s="51">
        <v>42064</v>
      </c>
      <c r="G10" s="50"/>
      <c r="H10" s="50" t="s">
        <v>181</v>
      </c>
      <c r="I10" s="52" t="s">
        <v>189</v>
      </c>
      <c r="J10" s="50"/>
      <c r="K10" s="50"/>
    </row>
    <row r="11" spans="1:11" x14ac:dyDescent="0.35">
      <c r="A11" s="61" t="s">
        <v>18</v>
      </c>
      <c r="B11" s="50" t="s">
        <v>164</v>
      </c>
      <c r="C11" s="50" t="s">
        <v>167</v>
      </c>
      <c r="D11" s="50" t="s">
        <v>175</v>
      </c>
      <c r="E11" s="50">
        <v>91846</v>
      </c>
      <c r="F11" s="51">
        <v>42071</v>
      </c>
      <c r="G11" s="50"/>
      <c r="H11" s="50" t="s">
        <v>180</v>
      </c>
      <c r="I11" s="52" t="s">
        <v>190</v>
      </c>
      <c r="J11" s="50"/>
      <c r="K11" s="50"/>
    </row>
    <row r="12" spans="1:11" x14ac:dyDescent="0.35">
      <c r="A12" s="61" t="s">
        <v>19</v>
      </c>
      <c r="B12" s="50" t="s">
        <v>163</v>
      </c>
      <c r="C12" s="50" t="s">
        <v>166</v>
      </c>
      <c r="D12" s="50" t="s">
        <v>175</v>
      </c>
      <c r="E12" s="50">
        <v>64247</v>
      </c>
      <c r="F12" s="51">
        <v>42078</v>
      </c>
      <c r="G12" s="50">
        <v>1</v>
      </c>
      <c r="H12" s="50" t="s">
        <v>181</v>
      </c>
      <c r="I12" s="52" t="s">
        <v>191</v>
      </c>
      <c r="J12" s="50"/>
      <c r="K12" s="50"/>
    </row>
    <row r="13" spans="1:11" x14ac:dyDescent="0.35">
      <c r="A13" s="61" t="s">
        <v>20</v>
      </c>
      <c r="B13" s="50" t="s">
        <v>163</v>
      </c>
      <c r="C13" s="50" t="s">
        <v>169</v>
      </c>
      <c r="D13" s="50" t="s">
        <v>173</v>
      </c>
      <c r="E13" s="50">
        <v>91180</v>
      </c>
      <c r="F13" s="51">
        <v>42085</v>
      </c>
      <c r="G13" s="50">
        <v>5</v>
      </c>
      <c r="H13" s="50" t="s">
        <v>180</v>
      </c>
      <c r="I13" s="52" t="s">
        <v>192</v>
      </c>
      <c r="J13" s="50"/>
      <c r="K13" s="50"/>
    </row>
    <row r="14" spans="1:11" x14ac:dyDescent="0.35">
      <c r="A14" s="61" t="s">
        <v>21</v>
      </c>
      <c r="B14" s="50" t="s">
        <v>165</v>
      </c>
      <c r="C14" s="50" t="s">
        <v>168</v>
      </c>
      <c r="D14" s="50"/>
      <c r="E14" s="50">
        <v>96418</v>
      </c>
      <c r="F14" s="51">
        <v>42092</v>
      </c>
      <c r="G14" s="50">
        <v>5</v>
      </c>
      <c r="H14" s="50" t="s">
        <v>180</v>
      </c>
      <c r="I14" s="52" t="s">
        <v>183</v>
      </c>
      <c r="J14" s="50"/>
      <c r="K14" s="50"/>
    </row>
    <row r="15" spans="1:11" x14ac:dyDescent="0.35">
      <c r="A15" s="61" t="s">
        <v>22</v>
      </c>
      <c r="B15" s="50" t="s">
        <v>163</v>
      </c>
      <c r="C15" s="50"/>
      <c r="D15" s="50" t="s">
        <v>174</v>
      </c>
      <c r="E15" s="50">
        <v>62158</v>
      </c>
      <c r="F15" s="51">
        <v>42099</v>
      </c>
      <c r="G15" s="50">
        <v>4</v>
      </c>
      <c r="H15" s="50"/>
      <c r="I15" s="52" t="s">
        <v>193</v>
      </c>
      <c r="J15" s="50"/>
      <c r="K15" s="50"/>
    </row>
    <row r="16" spans="1:11" x14ac:dyDescent="0.35">
      <c r="A16" s="61" t="s">
        <v>23</v>
      </c>
      <c r="B16" s="50" t="s">
        <v>162</v>
      </c>
      <c r="C16" s="50" t="s">
        <v>167</v>
      </c>
      <c r="D16" s="50"/>
      <c r="E16" s="50">
        <v>59894</v>
      </c>
      <c r="F16" s="51">
        <v>42106</v>
      </c>
      <c r="G16" s="50">
        <v>2</v>
      </c>
      <c r="H16" s="50" t="s">
        <v>180</v>
      </c>
      <c r="I16" s="52" t="s">
        <v>194</v>
      </c>
      <c r="J16" s="50"/>
      <c r="K16" s="50"/>
    </row>
    <row r="17" spans="1:11" x14ac:dyDescent="0.35">
      <c r="A17" s="61" t="s">
        <v>24</v>
      </c>
      <c r="B17" s="50"/>
      <c r="C17" s="50" t="s">
        <v>169</v>
      </c>
      <c r="D17" s="50" t="s">
        <v>174</v>
      </c>
      <c r="E17" s="50">
        <v>92443</v>
      </c>
      <c r="F17" s="51">
        <v>42113</v>
      </c>
      <c r="G17" s="50">
        <v>3</v>
      </c>
      <c r="H17" s="50" t="s">
        <v>179</v>
      </c>
      <c r="I17" s="52" t="s">
        <v>195</v>
      </c>
      <c r="J17" s="50"/>
      <c r="K17" s="50"/>
    </row>
    <row r="18" spans="1:11" x14ac:dyDescent="0.35">
      <c r="A18" s="61" t="s">
        <v>25</v>
      </c>
      <c r="B18" s="50" t="s">
        <v>165</v>
      </c>
      <c r="C18" s="50"/>
      <c r="D18" s="50" t="s">
        <v>172</v>
      </c>
      <c r="E18" s="50">
        <v>90271</v>
      </c>
      <c r="F18" s="51">
        <v>42120</v>
      </c>
      <c r="G18" s="50"/>
      <c r="H18" s="50"/>
      <c r="I18" s="52" t="s">
        <v>196</v>
      </c>
      <c r="J18" s="50"/>
      <c r="K18" s="50"/>
    </row>
    <row r="19" spans="1:11" x14ac:dyDescent="0.35">
      <c r="A19" s="61" t="s">
        <v>26</v>
      </c>
      <c r="B19" s="50" t="s">
        <v>162</v>
      </c>
      <c r="C19" s="50" t="s">
        <v>166</v>
      </c>
      <c r="D19" s="50" t="s">
        <v>176</v>
      </c>
      <c r="E19" s="50">
        <v>41341</v>
      </c>
      <c r="F19" s="51">
        <v>42127</v>
      </c>
      <c r="G19" s="50">
        <v>1</v>
      </c>
      <c r="H19" s="50" t="s">
        <v>179</v>
      </c>
      <c r="I19" s="52" t="s">
        <v>197</v>
      </c>
      <c r="J19" s="50"/>
      <c r="K19" s="50"/>
    </row>
    <row r="20" spans="1:11" x14ac:dyDescent="0.35">
      <c r="A20" s="61" t="s">
        <v>27</v>
      </c>
      <c r="B20" s="50" t="s">
        <v>160</v>
      </c>
      <c r="C20" s="50" t="s">
        <v>166</v>
      </c>
      <c r="D20" s="50" t="s">
        <v>175</v>
      </c>
      <c r="E20" s="50">
        <v>73602</v>
      </c>
      <c r="F20" s="51">
        <v>42134</v>
      </c>
      <c r="G20" s="50"/>
      <c r="H20" s="50"/>
      <c r="I20" s="52" t="s">
        <v>198</v>
      </c>
      <c r="J20" s="50"/>
      <c r="K20" s="50"/>
    </row>
    <row r="21" spans="1:11" x14ac:dyDescent="0.35">
      <c r="A21" s="61" t="s">
        <v>28</v>
      </c>
      <c r="B21" s="50" t="s">
        <v>159</v>
      </c>
      <c r="C21" s="50"/>
      <c r="D21" s="50" t="s">
        <v>174</v>
      </c>
      <c r="E21" s="50">
        <v>67531</v>
      </c>
      <c r="F21" s="51">
        <v>42141</v>
      </c>
      <c r="G21" s="50">
        <v>5</v>
      </c>
      <c r="H21" s="50" t="s">
        <v>181</v>
      </c>
      <c r="I21" s="52" t="s">
        <v>199</v>
      </c>
      <c r="J21" s="50"/>
      <c r="K21" s="50"/>
    </row>
    <row r="22" spans="1:11" x14ac:dyDescent="0.35">
      <c r="A22" s="61" t="s">
        <v>29</v>
      </c>
      <c r="B22" s="50" t="s">
        <v>162</v>
      </c>
      <c r="C22" s="50" t="s">
        <v>167</v>
      </c>
      <c r="D22" s="50" t="s">
        <v>173</v>
      </c>
      <c r="E22" s="50" t="s">
        <v>177</v>
      </c>
      <c r="F22" s="51">
        <v>42148</v>
      </c>
      <c r="G22" s="50">
        <v>2</v>
      </c>
      <c r="H22" s="50" t="s">
        <v>179</v>
      </c>
      <c r="I22" s="52" t="s">
        <v>200</v>
      </c>
      <c r="J22" s="50"/>
      <c r="K22" s="50"/>
    </row>
    <row r="23" spans="1:11" x14ac:dyDescent="0.35">
      <c r="A23" s="61" t="s">
        <v>30</v>
      </c>
      <c r="B23" s="50" t="s">
        <v>162</v>
      </c>
      <c r="C23" s="50" t="s">
        <v>167</v>
      </c>
      <c r="D23" s="50"/>
      <c r="E23" s="50">
        <v>98922</v>
      </c>
      <c r="F23" s="51">
        <v>42155</v>
      </c>
      <c r="G23" s="50">
        <v>4</v>
      </c>
      <c r="H23" s="50"/>
      <c r="I23" s="52" t="s">
        <v>201</v>
      </c>
      <c r="J23" s="50"/>
      <c r="K23" s="50"/>
    </row>
    <row r="24" spans="1:11" x14ac:dyDescent="0.35">
      <c r="A24" s="61" t="s">
        <v>31</v>
      </c>
      <c r="B24" s="50" t="s">
        <v>159</v>
      </c>
      <c r="C24" s="50" t="s">
        <v>166</v>
      </c>
      <c r="D24" s="50" t="s">
        <v>174</v>
      </c>
      <c r="E24" s="50">
        <v>38333</v>
      </c>
      <c r="F24" s="51">
        <v>42162</v>
      </c>
      <c r="G24" s="50">
        <v>5</v>
      </c>
      <c r="H24" s="50"/>
      <c r="I24" s="52" t="s">
        <v>202</v>
      </c>
      <c r="J24" s="50"/>
      <c r="K24" s="50"/>
    </row>
    <row r="25" spans="1:11" x14ac:dyDescent="0.35">
      <c r="A25" s="61" t="s">
        <v>32</v>
      </c>
      <c r="B25" s="50" t="s">
        <v>160</v>
      </c>
      <c r="C25" s="50" t="s">
        <v>170</v>
      </c>
      <c r="D25" s="50" t="s">
        <v>175</v>
      </c>
      <c r="E25" s="50">
        <v>36515</v>
      </c>
      <c r="F25" s="51">
        <v>42169</v>
      </c>
      <c r="G25" s="50">
        <v>3</v>
      </c>
      <c r="H25" s="50" t="s">
        <v>180</v>
      </c>
      <c r="I25" s="52" t="s">
        <v>203</v>
      </c>
      <c r="J25" s="50"/>
      <c r="K25" s="50"/>
    </row>
    <row r="26" spans="1:11" x14ac:dyDescent="0.35">
      <c r="A26" s="61" t="s">
        <v>33</v>
      </c>
      <c r="B26" s="50" t="s">
        <v>163</v>
      </c>
      <c r="C26" s="50" t="s">
        <v>166</v>
      </c>
      <c r="D26" s="50"/>
      <c r="E26" s="50">
        <v>91005</v>
      </c>
      <c r="F26" s="51">
        <v>42176</v>
      </c>
      <c r="G26" s="50">
        <v>1</v>
      </c>
      <c r="H26" s="50" t="s">
        <v>179</v>
      </c>
      <c r="I26" s="52" t="s">
        <v>204</v>
      </c>
      <c r="J26" s="50"/>
      <c r="K26" s="50"/>
    </row>
    <row r="27" spans="1:11" x14ac:dyDescent="0.35">
      <c r="A27" s="61" t="s">
        <v>34</v>
      </c>
      <c r="B27" s="50" t="s">
        <v>164</v>
      </c>
      <c r="C27" s="50"/>
      <c r="D27" s="50" t="s">
        <v>171</v>
      </c>
      <c r="E27" s="50">
        <v>52272</v>
      </c>
      <c r="F27" s="51">
        <v>42183</v>
      </c>
      <c r="G27" s="50">
        <v>3</v>
      </c>
      <c r="H27" s="50"/>
      <c r="I27" s="52" t="s">
        <v>205</v>
      </c>
      <c r="J27" s="50"/>
      <c r="K27" s="50"/>
    </row>
    <row r="28" spans="1:11" x14ac:dyDescent="0.35">
      <c r="A28" s="61" t="s">
        <v>35</v>
      </c>
      <c r="B28" s="50" t="s">
        <v>159</v>
      </c>
      <c r="C28" s="50" t="s">
        <v>168</v>
      </c>
      <c r="D28" s="50" t="s">
        <v>172</v>
      </c>
      <c r="E28" s="50">
        <v>76518</v>
      </c>
      <c r="F28" s="51">
        <v>42190</v>
      </c>
      <c r="G28" s="50">
        <v>2</v>
      </c>
      <c r="H28" s="50" t="s">
        <v>181</v>
      </c>
      <c r="I28" s="52" t="s">
        <v>206</v>
      </c>
      <c r="J28" s="50"/>
      <c r="K28" s="50"/>
    </row>
    <row r="29" spans="1:11" x14ac:dyDescent="0.35">
      <c r="A29" s="61" t="s">
        <v>36</v>
      </c>
      <c r="B29" s="50" t="s">
        <v>160</v>
      </c>
      <c r="C29" s="50" t="s">
        <v>169</v>
      </c>
      <c r="D29" s="50" t="s">
        <v>175</v>
      </c>
      <c r="E29" s="50">
        <v>41448</v>
      </c>
      <c r="F29" s="51">
        <v>42197</v>
      </c>
      <c r="G29" s="50">
        <v>3</v>
      </c>
      <c r="H29" s="50" t="s">
        <v>179</v>
      </c>
      <c r="I29" s="52" t="s">
        <v>207</v>
      </c>
      <c r="J29" s="50"/>
      <c r="K29" s="50"/>
    </row>
    <row r="30" spans="1:11" x14ac:dyDescent="0.35">
      <c r="A30" s="61" t="s">
        <v>37</v>
      </c>
      <c r="B30" s="50" t="s">
        <v>161</v>
      </c>
      <c r="C30" s="50" t="s">
        <v>167</v>
      </c>
      <c r="D30" s="50" t="s">
        <v>175</v>
      </c>
      <c r="E30" s="50">
        <v>49282</v>
      </c>
      <c r="F30" s="51">
        <v>42204</v>
      </c>
      <c r="G30" s="50">
        <v>2</v>
      </c>
      <c r="H30" s="50" t="s">
        <v>181</v>
      </c>
      <c r="I30" s="52" t="s">
        <v>208</v>
      </c>
      <c r="J30" s="50"/>
      <c r="K30" s="50"/>
    </row>
    <row r="31" spans="1:11" x14ac:dyDescent="0.35">
      <c r="A31" s="61" t="s">
        <v>38</v>
      </c>
      <c r="B31" s="50" t="s">
        <v>165</v>
      </c>
      <c r="C31" s="50" t="s">
        <v>170</v>
      </c>
      <c r="D31" s="50" t="s">
        <v>175</v>
      </c>
      <c r="E31" s="50">
        <v>92959</v>
      </c>
      <c r="F31" s="51">
        <v>42211</v>
      </c>
      <c r="G31" s="50">
        <v>5</v>
      </c>
      <c r="H31" s="50"/>
      <c r="I31" s="52" t="s">
        <v>209</v>
      </c>
      <c r="J31" s="50"/>
      <c r="K31" s="50"/>
    </row>
    <row r="32" spans="1:11" x14ac:dyDescent="0.35">
      <c r="A32" s="61" t="s">
        <v>39</v>
      </c>
      <c r="B32" s="50"/>
      <c r="C32" s="50" t="s">
        <v>170</v>
      </c>
      <c r="D32" s="50"/>
      <c r="E32" s="50">
        <v>92259</v>
      </c>
      <c r="F32" s="50"/>
      <c r="G32" s="50">
        <v>1</v>
      </c>
      <c r="H32" s="50" t="s">
        <v>178</v>
      </c>
      <c r="I32" s="52" t="s">
        <v>210</v>
      </c>
      <c r="J32" s="50"/>
      <c r="K32" s="50"/>
    </row>
    <row r="33" spans="1:11" x14ac:dyDescent="0.35">
      <c r="A33" s="61" t="s">
        <v>40</v>
      </c>
      <c r="B33" s="50" t="s">
        <v>159</v>
      </c>
      <c r="C33" s="50" t="s">
        <v>167</v>
      </c>
      <c r="D33" s="50" t="s">
        <v>172</v>
      </c>
      <c r="E33" s="50">
        <v>92299</v>
      </c>
      <c r="F33" s="51">
        <v>42225</v>
      </c>
      <c r="G33" s="50">
        <v>3</v>
      </c>
      <c r="H33" s="50" t="s">
        <v>180</v>
      </c>
      <c r="I33" s="52" t="s">
        <v>211</v>
      </c>
      <c r="J33" s="50"/>
      <c r="K33" s="50"/>
    </row>
    <row r="34" spans="1:11" x14ac:dyDescent="0.35">
      <c r="A34" s="61" t="s">
        <v>41</v>
      </c>
      <c r="B34" s="50" t="s">
        <v>163</v>
      </c>
      <c r="C34" s="50" t="s">
        <v>167</v>
      </c>
      <c r="D34" s="50"/>
      <c r="E34" s="50">
        <v>95586</v>
      </c>
      <c r="F34" s="51">
        <v>42232</v>
      </c>
      <c r="G34" s="50">
        <v>3</v>
      </c>
      <c r="H34" s="50" t="s">
        <v>179</v>
      </c>
      <c r="I34" s="52" t="s">
        <v>212</v>
      </c>
      <c r="J34" s="50"/>
      <c r="K34" s="50"/>
    </row>
    <row r="35" spans="1:11" x14ac:dyDescent="0.35">
      <c r="A35" s="61" t="s">
        <v>42</v>
      </c>
      <c r="B35" s="50" t="s">
        <v>164</v>
      </c>
      <c r="C35" s="50"/>
      <c r="D35" s="50" t="s">
        <v>173</v>
      </c>
      <c r="E35" s="50">
        <v>95367</v>
      </c>
      <c r="F35" s="51">
        <v>42239</v>
      </c>
      <c r="G35" s="50"/>
      <c r="H35" s="50" t="s">
        <v>180</v>
      </c>
      <c r="I35" s="52" t="s">
        <v>213</v>
      </c>
      <c r="J35" s="50"/>
      <c r="K35" s="50"/>
    </row>
    <row r="36" spans="1:11" x14ac:dyDescent="0.35">
      <c r="A36" s="61" t="s">
        <v>43</v>
      </c>
      <c r="B36" s="50" t="s">
        <v>161</v>
      </c>
      <c r="C36" s="50" t="s">
        <v>168</v>
      </c>
      <c r="D36" s="50" t="s">
        <v>176</v>
      </c>
      <c r="E36" s="50">
        <v>79549</v>
      </c>
      <c r="F36" s="51">
        <v>42246</v>
      </c>
      <c r="G36" s="50">
        <v>3</v>
      </c>
      <c r="H36" s="50"/>
      <c r="I36" s="52" t="s">
        <v>214</v>
      </c>
      <c r="J36" s="50"/>
      <c r="K36" s="50"/>
    </row>
    <row r="37" spans="1:11" x14ac:dyDescent="0.35">
      <c r="A37" s="61" t="s">
        <v>44</v>
      </c>
      <c r="B37" s="50" t="s">
        <v>160</v>
      </c>
      <c r="C37" s="50"/>
      <c r="D37" s="50" t="s">
        <v>175</v>
      </c>
      <c r="E37" s="50">
        <v>54463</v>
      </c>
      <c r="F37" s="51">
        <v>42253</v>
      </c>
      <c r="G37" s="50">
        <v>4</v>
      </c>
      <c r="H37" s="50" t="s">
        <v>180</v>
      </c>
      <c r="I37" s="52" t="s">
        <v>182</v>
      </c>
      <c r="J37" s="50"/>
      <c r="K37" s="50"/>
    </row>
    <row r="38" spans="1:11" x14ac:dyDescent="0.35">
      <c r="A38" s="61" t="s">
        <v>45</v>
      </c>
      <c r="B38" s="50" t="s">
        <v>160</v>
      </c>
      <c r="C38" s="50" t="s">
        <v>169</v>
      </c>
      <c r="D38" s="50" t="s">
        <v>173</v>
      </c>
      <c r="E38" s="50">
        <v>89781</v>
      </c>
      <c r="F38" s="51">
        <v>42260</v>
      </c>
      <c r="G38" s="50"/>
      <c r="H38" s="50" t="s">
        <v>181</v>
      </c>
      <c r="I38" s="52" t="s">
        <v>215</v>
      </c>
      <c r="J38" s="50"/>
      <c r="K38" s="50"/>
    </row>
    <row r="39" spans="1:11" x14ac:dyDescent="0.35">
      <c r="A39" s="61" t="s">
        <v>46</v>
      </c>
      <c r="B39" s="50" t="s">
        <v>160</v>
      </c>
      <c r="C39" s="50" t="s">
        <v>167</v>
      </c>
      <c r="D39" s="50"/>
      <c r="E39" s="50">
        <v>64796</v>
      </c>
      <c r="F39" s="51">
        <v>42267</v>
      </c>
      <c r="G39" s="50"/>
      <c r="H39" s="50" t="s">
        <v>179</v>
      </c>
      <c r="I39" s="52" t="s">
        <v>216</v>
      </c>
      <c r="J39" s="50"/>
      <c r="K39" s="50"/>
    </row>
    <row r="40" spans="1:11" x14ac:dyDescent="0.35">
      <c r="A40" s="61" t="s">
        <v>47</v>
      </c>
      <c r="B40" s="50" t="s">
        <v>161</v>
      </c>
      <c r="C40" s="50" t="s">
        <v>170</v>
      </c>
      <c r="D40" s="50" t="s">
        <v>175</v>
      </c>
      <c r="E40" s="50">
        <v>52093</v>
      </c>
      <c r="F40" s="51">
        <v>42274</v>
      </c>
      <c r="G40" s="50">
        <v>5</v>
      </c>
      <c r="H40" s="50"/>
      <c r="I40" s="52" t="s">
        <v>217</v>
      </c>
      <c r="J40" s="50"/>
      <c r="K40" s="50"/>
    </row>
    <row r="41" spans="1:11" x14ac:dyDescent="0.35">
      <c r="A41" s="61" t="s">
        <v>48</v>
      </c>
      <c r="B41" s="50" t="s">
        <v>164</v>
      </c>
      <c r="C41" s="50" t="s">
        <v>167</v>
      </c>
      <c r="D41" s="50" t="s">
        <v>175</v>
      </c>
      <c r="E41" s="50">
        <v>48224</v>
      </c>
      <c r="F41" s="51">
        <v>42281</v>
      </c>
      <c r="G41" s="50">
        <v>3</v>
      </c>
      <c r="H41" s="50"/>
      <c r="I41" s="52" t="s">
        <v>218</v>
      </c>
      <c r="J41" s="50"/>
      <c r="K41" s="50"/>
    </row>
    <row r="42" spans="1:11" x14ac:dyDescent="0.35">
      <c r="A42" s="61" t="s">
        <v>49</v>
      </c>
      <c r="B42" s="50" t="s">
        <v>165</v>
      </c>
      <c r="C42" s="50" t="s">
        <v>166</v>
      </c>
      <c r="D42" s="50" t="s">
        <v>175</v>
      </c>
      <c r="E42" s="50" t="s">
        <v>177</v>
      </c>
      <c r="F42" s="50"/>
      <c r="G42" s="50">
        <v>4</v>
      </c>
      <c r="H42" s="50" t="s">
        <v>181</v>
      </c>
      <c r="I42" s="52" t="s">
        <v>219</v>
      </c>
      <c r="J42" s="50"/>
      <c r="K42" s="50"/>
    </row>
    <row r="43" spans="1:11" x14ac:dyDescent="0.35">
      <c r="A43" s="61" t="s">
        <v>50</v>
      </c>
      <c r="B43" s="50" t="s">
        <v>160</v>
      </c>
      <c r="C43" s="50" t="s">
        <v>169</v>
      </c>
      <c r="D43" s="50" t="s">
        <v>172</v>
      </c>
      <c r="E43" s="50">
        <v>33956</v>
      </c>
      <c r="F43" s="51">
        <v>42295</v>
      </c>
      <c r="G43" s="50"/>
      <c r="H43" s="50"/>
      <c r="I43" s="52" t="s">
        <v>220</v>
      </c>
      <c r="J43" s="50"/>
      <c r="K43" s="50"/>
    </row>
    <row r="44" spans="1:11" x14ac:dyDescent="0.35">
      <c r="A44" s="61" t="s">
        <v>51</v>
      </c>
      <c r="B44" s="50" t="s">
        <v>165</v>
      </c>
      <c r="C44" s="50"/>
      <c r="D44" s="50" t="s">
        <v>176</v>
      </c>
      <c r="E44" s="50">
        <v>64913</v>
      </c>
      <c r="F44" s="51">
        <v>42302</v>
      </c>
      <c r="G44" s="50">
        <v>1</v>
      </c>
      <c r="H44" s="50" t="s">
        <v>181</v>
      </c>
      <c r="I44" s="52" t="s">
        <v>221</v>
      </c>
      <c r="J44" s="50"/>
      <c r="K44" s="50"/>
    </row>
    <row r="45" spans="1:11" x14ac:dyDescent="0.35">
      <c r="A45" s="61" t="s">
        <v>52</v>
      </c>
      <c r="B45" s="50" t="s">
        <v>160</v>
      </c>
      <c r="C45" s="50" t="s">
        <v>170</v>
      </c>
      <c r="D45" s="50" t="s">
        <v>176</v>
      </c>
      <c r="E45" s="50">
        <v>35326</v>
      </c>
      <c r="F45" s="51">
        <v>42309</v>
      </c>
      <c r="G45" s="50"/>
      <c r="H45" s="50" t="s">
        <v>181</v>
      </c>
      <c r="I45" s="52" t="s">
        <v>222</v>
      </c>
      <c r="J45" s="50"/>
      <c r="K45" s="50"/>
    </row>
    <row r="46" spans="1:11" x14ac:dyDescent="0.35">
      <c r="A46" s="61" t="s">
        <v>53</v>
      </c>
      <c r="B46" s="50" t="s">
        <v>164</v>
      </c>
      <c r="C46" s="50" t="s">
        <v>166</v>
      </c>
      <c r="D46" s="50"/>
      <c r="E46" s="50">
        <v>81610</v>
      </c>
      <c r="F46" s="51">
        <v>42316</v>
      </c>
      <c r="G46" s="50">
        <v>1</v>
      </c>
      <c r="H46" s="50"/>
      <c r="I46" s="52" t="s">
        <v>223</v>
      </c>
      <c r="J46" s="50"/>
      <c r="K46" s="50"/>
    </row>
    <row r="47" spans="1:11" x14ac:dyDescent="0.35">
      <c r="A47" s="61" t="s">
        <v>54</v>
      </c>
      <c r="B47" s="50"/>
      <c r="C47" s="50" t="s">
        <v>167</v>
      </c>
      <c r="D47" s="50"/>
      <c r="E47" s="50">
        <v>58962</v>
      </c>
      <c r="F47" s="51">
        <v>42323</v>
      </c>
      <c r="G47" s="50">
        <v>3</v>
      </c>
      <c r="H47" s="50" t="s">
        <v>179</v>
      </c>
      <c r="I47" s="52" t="s">
        <v>183</v>
      </c>
      <c r="J47" s="50"/>
      <c r="K47" s="50"/>
    </row>
    <row r="48" spans="1:11" x14ac:dyDescent="0.35">
      <c r="A48" s="61" t="s">
        <v>55</v>
      </c>
      <c r="B48" s="50" t="s">
        <v>164</v>
      </c>
      <c r="C48" s="50" t="s">
        <v>169</v>
      </c>
      <c r="D48" s="50" t="s">
        <v>172</v>
      </c>
      <c r="E48" s="50">
        <v>92701</v>
      </c>
      <c r="F48" s="51">
        <v>42330</v>
      </c>
      <c r="G48" s="50">
        <v>3</v>
      </c>
      <c r="H48" s="50" t="s">
        <v>179</v>
      </c>
      <c r="I48" s="52" t="s">
        <v>224</v>
      </c>
      <c r="J48" s="50"/>
      <c r="K48" s="50"/>
    </row>
    <row r="49" spans="1:11" x14ac:dyDescent="0.35">
      <c r="A49" s="61" t="s">
        <v>56</v>
      </c>
      <c r="B49" s="50" t="s">
        <v>164</v>
      </c>
      <c r="C49" s="50" t="s">
        <v>167</v>
      </c>
      <c r="D49" s="50" t="s">
        <v>174</v>
      </c>
      <c r="E49" s="50">
        <v>58245</v>
      </c>
      <c r="F49" s="51">
        <v>42337</v>
      </c>
      <c r="G49" s="50">
        <v>4</v>
      </c>
      <c r="H49" s="50"/>
      <c r="I49" s="52" t="s">
        <v>225</v>
      </c>
      <c r="J49" s="50"/>
      <c r="K49" s="50"/>
    </row>
    <row r="50" spans="1:11" x14ac:dyDescent="0.35">
      <c r="A50" s="61" t="s">
        <v>57</v>
      </c>
      <c r="B50" s="50" t="s">
        <v>161</v>
      </c>
      <c r="C50" s="50" t="s">
        <v>166</v>
      </c>
      <c r="D50" s="50"/>
      <c r="E50" s="50">
        <v>66513</v>
      </c>
      <c r="F50" s="51">
        <v>42344</v>
      </c>
      <c r="G50" s="50">
        <v>2</v>
      </c>
      <c r="H50" s="50" t="s">
        <v>179</v>
      </c>
      <c r="I50" s="52" t="s">
        <v>187</v>
      </c>
      <c r="J50" s="50"/>
      <c r="K50" s="50"/>
    </row>
    <row r="51" spans="1:11" x14ac:dyDescent="0.35">
      <c r="A51" s="61" t="s">
        <v>58</v>
      </c>
      <c r="B51" s="50" t="s">
        <v>159</v>
      </c>
      <c r="C51" s="50" t="s">
        <v>167</v>
      </c>
      <c r="D51" s="50" t="s">
        <v>172</v>
      </c>
      <c r="E51" s="50">
        <v>78720</v>
      </c>
      <c r="F51" s="51">
        <v>42351</v>
      </c>
      <c r="G51" s="50">
        <v>5</v>
      </c>
      <c r="H51" s="50" t="s">
        <v>181</v>
      </c>
      <c r="I51" s="52" t="s">
        <v>219</v>
      </c>
      <c r="J51" s="50"/>
      <c r="K51" s="50"/>
    </row>
    <row r="52" spans="1:11" x14ac:dyDescent="0.35">
      <c r="A52" s="61" t="s">
        <v>59</v>
      </c>
      <c r="B52" s="50" t="s">
        <v>164</v>
      </c>
      <c r="C52" s="50"/>
      <c r="D52" s="50" t="s">
        <v>171</v>
      </c>
      <c r="E52" s="50">
        <v>30686</v>
      </c>
      <c r="F52" s="50"/>
      <c r="G52" s="50">
        <v>2</v>
      </c>
      <c r="H52" s="50" t="s">
        <v>181</v>
      </c>
      <c r="I52" s="52" t="s">
        <v>226</v>
      </c>
      <c r="J52" s="50"/>
      <c r="K52" s="50"/>
    </row>
    <row r="53" spans="1:11" x14ac:dyDescent="0.35">
      <c r="A53" s="61" t="s">
        <v>60</v>
      </c>
      <c r="B53" s="50" t="s">
        <v>163</v>
      </c>
      <c r="C53" s="50" t="s">
        <v>168</v>
      </c>
      <c r="D53" s="50" t="s">
        <v>174</v>
      </c>
      <c r="E53" s="50">
        <v>39423</v>
      </c>
      <c r="F53" s="51">
        <v>42365</v>
      </c>
      <c r="G53" s="50">
        <v>5</v>
      </c>
      <c r="H53" s="50"/>
      <c r="I53" s="52" t="s">
        <v>227</v>
      </c>
      <c r="J53" s="50"/>
      <c r="K53" s="50"/>
    </row>
    <row r="54" spans="1:11" x14ac:dyDescent="0.35">
      <c r="A54" s="61" t="s">
        <v>61</v>
      </c>
      <c r="B54" s="50" t="s">
        <v>159</v>
      </c>
      <c r="C54" s="50" t="s">
        <v>170</v>
      </c>
      <c r="D54" s="50"/>
      <c r="E54" s="50">
        <v>30280</v>
      </c>
      <c r="F54" s="51">
        <v>42372</v>
      </c>
      <c r="G54" s="50">
        <v>1</v>
      </c>
      <c r="H54" s="50"/>
      <c r="I54" s="52" t="s">
        <v>228</v>
      </c>
      <c r="J54" s="50"/>
      <c r="K54" s="50"/>
    </row>
    <row r="55" spans="1:11" x14ac:dyDescent="0.35">
      <c r="A55" s="61" t="s">
        <v>62</v>
      </c>
      <c r="B55" s="50" t="s">
        <v>159</v>
      </c>
      <c r="C55" s="50" t="s">
        <v>166</v>
      </c>
      <c r="D55" s="50" t="s">
        <v>175</v>
      </c>
      <c r="E55" s="50">
        <v>33352</v>
      </c>
      <c r="F55" s="51">
        <v>42379</v>
      </c>
      <c r="G55" s="50">
        <v>3</v>
      </c>
      <c r="H55" s="50" t="s">
        <v>181</v>
      </c>
      <c r="I55" s="52" t="s">
        <v>200</v>
      </c>
      <c r="J55" s="50"/>
      <c r="K55" s="50"/>
    </row>
    <row r="56" spans="1:11" x14ac:dyDescent="0.35">
      <c r="A56" s="61" t="s">
        <v>63</v>
      </c>
      <c r="B56" s="50" t="s">
        <v>165</v>
      </c>
      <c r="C56" s="50" t="s">
        <v>170</v>
      </c>
      <c r="D56" s="50" t="s">
        <v>175</v>
      </c>
      <c r="E56" s="50">
        <v>75633</v>
      </c>
      <c r="F56" s="51">
        <v>42386</v>
      </c>
      <c r="G56" s="50">
        <v>5</v>
      </c>
      <c r="H56" s="50" t="s">
        <v>179</v>
      </c>
      <c r="I56" s="52" t="s">
        <v>229</v>
      </c>
      <c r="J56" s="50"/>
      <c r="K56" s="50"/>
    </row>
    <row r="57" spans="1:11" x14ac:dyDescent="0.35">
      <c r="A57" s="61" t="s">
        <v>64</v>
      </c>
      <c r="B57" s="50" t="s">
        <v>164</v>
      </c>
      <c r="C57" s="50"/>
      <c r="D57" s="50" t="s">
        <v>173</v>
      </c>
      <c r="E57" s="50">
        <v>74815</v>
      </c>
      <c r="F57" s="51">
        <v>42393</v>
      </c>
      <c r="G57" s="50">
        <v>5</v>
      </c>
      <c r="H57" s="50" t="s">
        <v>181</v>
      </c>
      <c r="I57" s="52" t="s">
        <v>230</v>
      </c>
      <c r="J57" s="50"/>
      <c r="K57" s="50"/>
    </row>
    <row r="58" spans="1:11" x14ac:dyDescent="0.35">
      <c r="A58" s="61" t="s">
        <v>65</v>
      </c>
      <c r="B58" s="50" t="s">
        <v>161</v>
      </c>
      <c r="C58" s="50" t="s">
        <v>168</v>
      </c>
      <c r="D58" s="50" t="s">
        <v>176</v>
      </c>
      <c r="E58" s="50">
        <v>60011</v>
      </c>
      <c r="F58" s="51">
        <v>42400</v>
      </c>
      <c r="G58" s="50">
        <v>1</v>
      </c>
      <c r="H58" s="50" t="s">
        <v>180</v>
      </c>
      <c r="I58" s="52" t="s">
        <v>231</v>
      </c>
      <c r="J58" s="50"/>
      <c r="K58" s="50"/>
    </row>
    <row r="59" spans="1:11" x14ac:dyDescent="0.35">
      <c r="A59" s="61" t="s">
        <v>66</v>
      </c>
      <c r="B59" s="50" t="s">
        <v>159</v>
      </c>
      <c r="C59" s="50"/>
      <c r="D59" s="50" t="s">
        <v>174</v>
      </c>
      <c r="E59" s="50">
        <v>96949</v>
      </c>
      <c r="F59" s="51">
        <v>42407</v>
      </c>
      <c r="G59" s="50">
        <v>3</v>
      </c>
      <c r="H59" s="50"/>
      <c r="I59" s="52" t="s">
        <v>207</v>
      </c>
      <c r="J59" s="50"/>
      <c r="K59" s="50"/>
    </row>
    <row r="60" spans="1:11" x14ac:dyDescent="0.35">
      <c r="A60" s="61" t="s">
        <v>67</v>
      </c>
      <c r="B60" s="50" t="s">
        <v>163</v>
      </c>
      <c r="C60" s="50" t="s">
        <v>170</v>
      </c>
      <c r="D60" s="50"/>
      <c r="E60" s="50">
        <v>84924</v>
      </c>
      <c r="F60" s="51">
        <v>42414</v>
      </c>
      <c r="G60" s="50">
        <v>5</v>
      </c>
      <c r="H60" s="50" t="s">
        <v>180</v>
      </c>
      <c r="I60" s="52" t="s">
        <v>232</v>
      </c>
      <c r="J60" s="50"/>
      <c r="K60" s="50"/>
    </row>
    <row r="61" spans="1:11" x14ac:dyDescent="0.35">
      <c r="A61" s="61" t="s">
        <v>68</v>
      </c>
      <c r="B61" s="50" t="s">
        <v>163</v>
      </c>
      <c r="C61" s="50" t="s">
        <v>166</v>
      </c>
      <c r="D61" s="50" t="s">
        <v>173</v>
      </c>
      <c r="E61" s="50">
        <v>82033</v>
      </c>
      <c r="F61" s="51">
        <v>42421</v>
      </c>
      <c r="G61" s="50">
        <v>1</v>
      </c>
      <c r="H61" s="50"/>
      <c r="I61" s="52" t="s">
        <v>223</v>
      </c>
      <c r="J61" s="50"/>
      <c r="K61" s="50"/>
    </row>
    <row r="62" spans="1:11" x14ac:dyDescent="0.35">
      <c r="A62" s="61" t="s">
        <v>69</v>
      </c>
      <c r="B62" s="50"/>
      <c r="C62" s="50" t="s">
        <v>170</v>
      </c>
      <c r="D62" s="50" t="s">
        <v>172</v>
      </c>
      <c r="E62" s="50" t="s">
        <v>177</v>
      </c>
      <c r="F62" s="50"/>
      <c r="G62" s="50">
        <v>5</v>
      </c>
      <c r="H62" s="50" t="s">
        <v>178</v>
      </c>
      <c r="I62" s="52" t="s">
        <v>233</v>
      </c>
      <c r="J62" s="50"/>
      <c r="K62" s="50"/>
    </row>
    <row r="63" spans="1:11" x14ac:dyDescent="0.35">
      <c r="A63" s="61" t="s">
        <v>70</v>
      </c>
      <c r="B63" s="50" t="s">
        <v>159</v>
      </c>
      <c r="C63" s="50"/>
      <c r="D63" s="50" t="s">
        <v>176</v>
      </c>
      <c r="E63" s="50">
        <v>31499</v>
      </c>
      <c r="F63" s="51">
        <v>42435</v>
      </c>
      <c r="G63" s="50">
        <v>2</v>
      </c>
      <c r="H63" s="50"/>
      <c r="I63" s="52" t="s">
        <v>215</v>
      </c>
      <c r="J63" s="50"/>
      <c r="K63" s="50"/>
    </row>
    <row r="64" spans="1:11" x14ac:dyDescent="0.35">
      <c r="A64" s="61" t="s">
        <v>71</v>
      </c>
      <c r="B64" s="50" t="s">
        <v>164</v>
      </c>
      <c r="C64" s="50" t="s">
        <v>169</v>
      </c>
      <c r="D64" s="50" t="s">
        <v>175</v>
      </c>
      <c r="E64" s="50">
        <v>97981</v>
      </c>
      <c r="F64" s="51">
        <v>42442</v>
      </c>
      <c r="G64" s="50">
        <v>5</v>
      </c>
      <c r="H64" s="50" t="s">
        <v>181</v>
      </c>
      <c r="I64" s="52" t="s">
        <v>234</v>
      </c>
      <c r="J64" s="50"/>
      <c r="K64" s="50"/>
    </row>
    <row r="65" spans="1:12" x14ac:dyDescent="0.35">
      <c r="A65" s="61" t="s">
        <v>72</v>
      </c>
      <c r="B65" s="50" t="s">
        <v>159</v>
      </c>
      <c r="C65" s="50" t="s">
        <v>167</v>
      </c>
      <c r="D65" s="50" t="s">
        <v>173</v>
      </c>
      <c r="E65" s="50">
        <v>36541</v>
      </c>
      <c r="F65" s="51">
        <v>42449</v>
      </c>
      <c r="G65" s="50">
        <v>2</v>
      </c>
      <c r="H65" s="50" t="s">
        <v>179</v>
      </c>
      <c r="I65" s="52" t="s">
        <v>235</v>
      </c>
      <c r="J65" s="50"/>
      <c r="K65" s="50"/>
    </row>
    <row r="66" spans="1:12" x14ac:dyDescent="0.35">
      <c r="A66" s="61" t="s">
        <v>73</v>
      </c>
      <c r="B66" s="50" t="s">
        <v>161</v>
      </c>
      <c r="C66" s="50" t="s">
        <v>169</v>
      </c>
      <c r="D66" s="50" t="s">
        <v>174</v>
      </c>
      <c r="E66" s="50">
        <v>84737</v>
      </c>
      <c r="F66" s="51">
        <v>42456</v>
      </c>
      <c r="G66" s="50">
        <v>1</v>
      </c>
      <c r="H66" s="50" t="s">
        <v>180</v>
      </c>
      <c r="I66" s="52" t="s">
        <v>236</v>
      </c>
      <c r="J66" s="50"/>
      <c r="K66" s="50"/>
    </row>
    <row r="67" spans="1:12" x14ac:dyDescent="0.35">
      <c r="A67" s="61" t="s">
        <v>74</v>
      </c>
      <c r="B67" s="50" t="s">
        <v>163</v>
      </c>
      <c r="C67" s="50" t="s">
        <v>166</v>
      </c>
      <c r="D67" s="50" t="s">
        <v>174</v>
      </c>
      <c r="E67" s="50">
        <v>33468</v>
      </c>
      <c r="F67" s="51">
        <v>42463</v>
      </c>
      <c r="G67" s="50">
        <v>4</v>
      </c>
      <c r="H67" s="50" t="s">
        <v>180</v>
      </c>
      <c r="I67" s="52" t="s">
        <v>237</v>
      </c>
      <c r="J67" s="50"/>
      <c r="K67" s="50"/>
    </row>
    <row r="68" spans="1:12" x14ac:dyDescent="0.35">
      <c r="A68" s="61" t="s">
        <v>75</v>
      </c>
      <c r="B68" s="50" t="s">
        <v>163</v>
      </c>
      <c r="C68" s="50"/>
      <c r="D68" s="50" t="s">
        <v>176</v>
      </c>
      <c r="E68" s="50">
        <v>96365</v>
      </c>
      <c r="F68" s="51">
        <v>42470</v>
      </c>
      <c r="G68" s="50">
        <v>3</v>
      </c>
      <c r="H68" s="50" t="s">
        <v>179</v>
      </c>
      <c r="I68" s="52" t="s">
        <v>238</v>
      </c>
      <c r="J68" s="50"/>
      <c r="K68" s="50"/>
    </row>
    <row r="69" spans="1:12" x14ac:dyDescent="0.35">
      <c r="A69" s="61" t="s">
        <v>76</v>
      </c>
      <c r="B69" s="50" t="s">
        <v>160</v>
      </c>
      <c r="C69" s="50" t="s">
        <v>168</v>
      </c>
      <c r="D69" s="50" t="s">
        <v>174</v>
      </c>
      <c r="E69" s="50">
        <v>61942</v>
      </c>
      <c r="F69" s="51">
        <v>42477</v>
      </c>
      <c r="G69" s="50">
        <v>3</v>
      </c>
      <c r="H69" s="50" t="s">
        <v>181</v>
      </c>
      <c r="I69" s="52" t="s">
        <v>239</v>
      </c>
      <c r="J69" s="50"/>
      <c r="K69" s="50"/>
    </row>
    <row r="70" spans="1:12" x14ac:dyDescent="0.35">
      <c r="A70" s="61" t="s">
        <v>77</v>
      </c>
      <c r="B70" s="50" t="s">
        <v>163</v>
      </c>
      <c r="C70" s="50" t="s">
        <v>166</v>
      </c>
      <c r="D70" s="50" t="s">
        <v>175</v>
      </c>
      <c r="E70" s="50">
        <v>41467</v>
      </c>
      <c r="F70" s="51">
        <v>42484</v>
      </c>
      <c r="G70" s="50">
        <v>2</v>
      </c>
      <c r="H70" s="50"/>
      <c r="I70" s="52" t="s">
        <v>201</v>
      </c>
      <c r="J70" s="50"/>
      <c r="K70" s="50"/>
    </row>
    <row r="71" spans="1:12" x14ac:dyDescent="0.35">
      <c r="A71" s="61" t="s">
        <v>78</v>
      </c>
      <c r="B71" s="50" t="s">
        <v>165</v>
      </c>
      <c r="C71" s="50" t="s">
        <v>166</v>
      </c>
      <c r="D71" s="50" t="s">
        <v>174</v>
      </c>
      <c r="E71" s="50">
        <v>77096</v>
      </c>
      <c r="F71" s="51">
        <v>42491</v>
      </c>
      <c r="G71" s="50">
        <v>1</v>
      </c>
      <c r="H71" s="50"/>
      <c r="I71" s="52" t="s">
        <v>240</v>
      </c>
      <c r="J71" s="50"/>
      <c r="K71" s="50"/>
    </row>
    <row r="72" spans="1:12" x14ac:dyDescent="0.35">
      <c r="A72" s="61" t="s">
        <v>79</v>
      </c>
      <c r="B72" s="50" t="s">
        <v>159</v>
      </c>
      <c r="C72" s="50" t="s">
        <v>168</v>
      </c>
      <c r="D72" s="50" t="s">
        <v>176</v>
      </c>
      <c r="E72" s="50">
        <v>69952</v>
      </c>
      <c r="F72" s="51">
        <v>42498</v>
      </c>
      <c r="G72" s="50">
        <v>5</v>
      </c>
      <c r="H72" s="50" t="s">
        <v>181</v>
      </c>
      <c r="I72" s="52" t="s">
        <v>182</v>
      </c>
      <c r="J72" s="50"/>
      <c r="K72" s="50"/>
      <c r="L72" s="49"/>
    </row>
    <row r="73" spans="1:12" x14ac:dyDescent="0.35">
      <c r="A73" s="61" t="s">
        <v>80</v>
      </c>
      <c r="B73" s="50" t="s">
        <v>159</v>
      </c>
      <c r="C73" s="50" t="s">
        <v>170</v>
      </c>
      <c r="D73" s="50" t="s">
        <v>173</v>
      </c>
      <c r="E73" s="50">
        <v>85065</v>
      </c>
      <c r="F73" s="51">
        <v>42505</v>
      </c>
      <c r="G73" s="50">
        <v>3</v>
      </c>
      <c r="H73" s="50"/>
      <c r="I73" s="52" t="s">
        <v>241</v>
      </c>
      <c r="J73" s="50"/>
      <c r="K73" s="50"/>
    </row>
    <row r="74" spans="1:12" x14ac:dyDescent="0.35">
      <c r="A74" s="61" t="s">
        <v>81</v>
      </c>
      <c r="B74" s="50" t="s">
        <v>165</v>
      </c>
      <c r="C74" s="50" t="s">
        <v>170</v>
      </c>
      <c r="D74" s="50" t="s">
        <v>174</v>
      </c>
      <c r="E74" s="50">
        <v>56512</v>
      </c>
      <c r="F74" s="51">
        <v>42512</v>
      </c>
      <c r="G74" s="50"/>
      <c r="H74" s="50" t="s">
        <v>179</v>
      </c>
      <c r="I74" s="52" t="s">
        <v>190</v>
      </c>
      <c r="J74" s="50"/>
      <c r="K74" s="50"/>
    </row>
    <row r="75" spans="1:12" x14ac:dyDescent="0.35">
      <c r="A75" s="61" t="s">
        <v>82</v>
      </c>
      <c r="B75" s="50" t="s">
        <v>161</v>
      </c>
      <c r="C75" s="50" t="s">
        <v>168</v>
      </c>
      <c r="D75" s="50" t="s">
        <v>174</v>
      </c>
      <c r="E75" s="50">
        <v>91101</v>
      </c>
      <c r="F75" s="51">
        <v>42519</v>
      </c>
      <c r="G75" s="50">
        <v>4</v>
      </c>
      <c r="H75" s="50" t="s">
        <v>181</v>
      </c>
      <c r="I75" s="52" t="s">
        <v>234</v>
      </c>
      <c r="J75" s="50"/>
      <c r="K75" s="50"/>
    </row>
    <row r="76" spans="1:12" x14ac:dyDescent="0.35">
      <c r="A76" s="61" t="s">
        <v>83</v>
      </c>
      <c r="B76" s="50" t="s">
        <v>163</v>
      </c>
      <c r="C76" s="50"/>
      <c r="D76" s="50" t="s">
        <v>172</v>
      </c>
      <c r="E76" s="50">
        <v>41243</v>
      </c>
      <c r="F76" s="51">
        <v>42526</v>
      </c>
      <c r="G76" s="50"/>
      <c r="H76" s="50"/>
      <c r="I76" s="52" t="s">
        <v>211</v>
      </c>
      <c r="J76" s="50"/>
      <c r="K76" s="50"/>
    </row>
    <row r="77" spans="1:12" x14ac:dyDescent="0.35">
      <c r="A77" s="61" t="s">
        <v>84</v>
      </c>
      <c r="B77" s="50"/>
      <c r="C77" s="50" t="s">
        <v>168</v>
      </c>
      <c r="D77" s="50" t="s">
        <v>171</v>
      </c>
      <c r="E77" s="50">
        <v>96142</v>
      </c>
      <c r="F77" s="51">
        <v>42533</v>
      </c>
      <c r="G77" s="50">
        <v>1</v>
      </c>
      <c r="H77" s="50" t="s">
        <v>179</v>
      </c>
      <c r="I77" s="52" t="s">
        <v>242</v>
      </c>
      <c r="J77" s="50"/>
      <c r="K77" s="50"/>
    </row>
    <row r="78" spans="1:12" x14ac:dyDescent="0.35">
      <c r="A78" s="61" t="s">
        <v>85</v>
      </c>
      <c r="B78" s="50" t="s">
        <v>159</v>
      </c>
      <c r="C78" s="50" t="s">
        <v>169</v>
      </c>
      <c r="D78" s="50" t="s">
        <v>174</v>
      </c>
      <c r="E78" s="50">
        <v>94301</v>
      </c>
      <c r="F78" s="51">
        <v>42540</v>
      </c>
      <c r="G78" s="50">
        <v>1</v>
      </c>
      <c r="H78" s="50" t="s">
        <v>180</v>
      </c>
      <c r="I78" s="52" t="s">
        <v>223</v>
      </c>
      <c r="J78" s="50"/>
      <c r="K78" s="50"/>
    </row>
    <row r="79" spans="1:12" x14ac:dyDescent="0.35">
      <c r="A79" s="61" t="s">
        <v>86</v>
      </c>
      <c r="B79" s="50" t="s">
        <v>162</v>
      </c>
      <c r="C79" s="50"/>
      <c r="D79" s="50" t="s">
        <v>175</v>
      </c>
      <c r="E79" s="50">
        <v>69166</v>
      </c>
      <c r="F79" s="51">
        <v>42547</v>
      </c>
      <c r="G79" s="50">
        <v>1</v>
      </c>
      <c r="H79" s="50" t="s">
        <v>181</v>
      </c>
      <c r="I79" s="52" t="s">
        <v>243</v>
      </c>
      <c r="J79" s="50"/>
      <c r="K79" s="50"/>
    </row>
    <row r="80" spans="1:12" x14ac:dyDescent="0.35">
      <c r="A80" s="61" t="s">
        <v>87</v>
      </c>
      <c r="B80" s="50" t="s">
        <v>163</v>
      </c>
      <c r="C80" s="50"/>
      <c r="D80" s="50" t="s">
        <v>175</v>
      </c>
      <c r="E80" s="50">
        <v>78245</v>
      </c>
      <c r="F80" s="51">
        <v>42554</v>
      </c>
      <c r="G80" s="50">
        <v>2</v>
      </c>
      <c r="H80" s="50"/>
      <c r="I80" s="52" t="s">
        <v>244</v>
      </c>
      <c r="J80" s="50"/>
      <c r="K80" s="50"/>
    </row>
    <row r="81" spans="1:11" x14ac:dyDescent="0.35">
      <c r="A81" s="61" t="s">
        <v>88</v>
      </c>
      <c r="B81" s="50" t="s">
        <v>164</v>
      </c>
      <c r="C81" s="50" t="s">
        <v>168</v>
      </c>
      <c r="D81" s="50" t="s">
        <v>173</v>
      </c>
      <c r="E81" s="50">
        <v>66079</v>
      </c>
      <c r="F81" s="51">
        <v>42561</v>
      </c>
      <c r="G81" s="50">
        <v>2</v>
      </c>
      <c r="H81" s="50" t="s">
        <v>179</v>
      </c>
      <c r="I81" s="52" t="s">
        <v>245</v>
      </c>
      <c r="J81" s="50"/>
      <c r="K81" s="50"/>
    </row>
    <row r="82" spans="1:11" x14ac:dyDescent="0.35">
      <c r="A82" s="61" t="s">
        <v>89</v>
      </c>
      <c r="B82" s="50" t="s">
        <v>159</v>
      </c>
      <c r="C82" s="50" t="s">
        <v>170</v>
      </c>
      <c r="D82" s="50" t="s">
        <v>174</v>
      </c>
      <c r="E82" s="50" t="s">
        <v>177</v>
      </c>
      <c r="F82" s="50"/>
      <c r="G82" s="50"/>
      <c r="H82" s="50"/>
      <c r="I82" s="52" t="s">
        <v>208</v>
      </c>
      <c r="J82" s="50"/>
      <c r="K82" s="50"/>
    </row>
    <row r="83" spans="1:11" x14ac:dyDescent="0.35">
      <c r="A83" s="61" t="s">
        <v>90</v>
      </c>
      <c r="B83" s="50" t="s">
        <v>162</v>
      </c>
      <c r="C83" s="50" t="s">
        <v>168</v>
      </c>
      <c r="D83" s="50" t="s">
        <v>173</v>
      </c>
      <c r="E83" s="50">
        <v>95621</v>
      </c>
      <c r="F83" s="51">
        <v>42575</v>
      </c>
      <c r="G83" s="50">
        <v>3</v>
      </c>
      <c r="H83" s="50" t="s">
        <v>181</v>
      </c>
      <c r="I83" s="52" t="s">
        <v>246</v>
      </c>
      <c r="J83" s="50"/>
      <c r="K83" s="50"/>
    </row>
    <row r="84" spans="1:11" x14ac:dyDescent="0.35">
      <c r="A84" s="61" t="s">
        <v>91</v>
      </c>
      <c r="B84" s="50" t="s">
        <v>159</v>
      </c>
      <c r="C84" s="50" t="s">
        <v>169</v>
      </c>
      <c r="D84" s="50" t="s">
        <v>175</v>
      </c>
      <c r="E84" s="50">
        <v>42262</v>
      </c>
      <c r="F84" s="51">
        <v>42582</v>
      </c>
      <c r="G84" s="50">
        <v>1</v>
      </c>
      <c r="H84" s="50"/>
      <c r="I84" s="52" t="s">
        <v>247</v>
      </c>
      <c r="J84" s="50"/>
      <c r="K84" s="50"/>
    </row>
    <row r="85" spans="1:11" x14ac:dyDescent="0.35">
      <c r="A85" s="61" t="s">
        <v>92</v>
      </c>
      <c r="B85" s="50" t="s">
        <v>163</v>
      </c>
      <c r="C85" s="50" t="s">
        <v>168</v>
      </c>
      <c r="D85" s="50" t="s">
        <v>174</v>
      </c>
      <c r="E85" s="50">
        <v>99621</v>
      </c>
      <c r="F85" s="51">
        <v>42589</v>
      </c>
      <c r="G85" s="50"/>
      <c r="H85" s="50" t="s">
        <v>179</v>
      </c>
      <c r="I85" s="52" t="s">
        <v>248</v>
      </c>
      <c r="J85" s="50"/>
      <c r="K85" s="50"/>
    </row>
    <row r="86" spans="1:11" x14ac:dyDescent="0.35">
      <c r="A86" s="61" t="s">
        <v>93</v>
      </c>
      <c r="B86" s="50" t="s">
        <v>161</v>
      </c>
      <c r="C86" s="50" t="s">
        <v>170</v>
      </c>
      <c r="D86" s="50" t="s">
        <v>174</v>
      </c>
      <c r="E86" s="50">
        <v>44682</v>
      </c>
      <c r="F86" s="51">
        <v>42596</v>
      </c>
      <c r="G86" s="50">
        <v>4</v>
      </c>
      <c r="H86" s="50" t="s">
        <v>181</v>
      </c>
      <c r="I86" s="52" t="s">
        <v>220</v>
      </c>
      <c r="J86" s="50"/>
      <c r="K86" s="50"/>
    </row>
    <row r="87" spans="1:11" x14ac:dyDescent="0.35">
      <c r="A87" s="61" t="s">
        <v>94</v>
      </c>
      <c r="B87" s="50" t="s">
        <v>164</v>
      </c>
      <c r="C87" s="50" t="s">
        <v>166</v>
      </c>
      <c r="D87" s="50"/>
      <c r="E87" s="50">
        <v>35163</v>
      </c>
      <c r="F87" s="51">
        <v>42603</v>
      </c>
      <c r="G87" s="50">
        <v>5</v>
      </c>
      <c r="H87" s="50" t="s">
        <v>179</v>
      </c>
      <c r="I87" s="52" t="s">
        <v>249</v>
      </c>
      <c r="J87" s="50"/>
      <c r="K87" s="50"/>
    </row>
    <row r="88" spans="1:11" x14ac:dyDescent="0.35">
      <c r="A88" s="61" t="s">
        <v>95</v>
      </c>
      <c r="B88" s="50" t="s">
        <v>164</v>
      </c>
      <c r="C88" s="50" t="s">
        <v>169</v>
      </c>
      <c r="D88" s="50" t="s">
        <v>174</v>
      </c>
      <c r="E88" s="50">
        <v>33483</v>
      </c>
      <c r="F88" s="51">
        <v>42610</v>
      </c>
      <c r="G88" s="50">
        <v>4</v>
      </c>
      <c r="H88" s="50" t="s">
        <v>180</v>
      </c>
      <c r="I88" s="52" t="s">
        <v>250</v>
      </c>
      <c r="J88" s="50"/>
      <c r="K88" s="50"/>
    </row>
    <row r="89" spans="1:11" x14ac:dyDescent="0.35">
      <c r="A89" s="61" t="s">
        <v>96</v>
      </c>
      <c r="B89" s="50" t="s">
        <v>163</v>
      </c>
      <c r="C89" s="50" t="s">
        <v>167</v>
      </c>
      <c r="D89" s="50" t="s">
        <v>172</v>
      </c>
      <c r="E89" s="50">
        <v>55303</v>
      </c>
      <c r="F89" s="51">
        <v>42617</v>
      </c>
      <c r="G89" s="50">
        <v>4</v>
      </c>
      <c r="H89" s="50" t="s">
        <v>180</v>
      </c>
      <c r="I89" s="52" t="s">
        <v>203</v>
      </c>
      <c r="J89" s="50"/>
      <c r="K89" s="50"/>
    </row>
    <row r="90" spans="1:11" x14ac:dyDescent="0.35">
      <c r="A90" s="61" t="s">
        <v>97</v>
      </c>
      <c r="B90" s="50" t="s">
        <v>164</v>
      </c>
      <c r="C90" s="50" t="s">
        <v>169</v>
      </c>
      <c r="D90" s="50"/>
      <c r="E90" s="50">
        <v>63434</v>
      </c>
      <c r="F90" s="51">
        <v>42624</v>
      </c>
      <c r="G90" s="50">
        <v>3</v>
      </c>
      <c r="H90" s="50"/>
      <c r="I90" s="52" t="s">
        <v>251</v>
      </c>
      <c r="J90" s="50"/>
      <c r="K90" s="50"/>
    </row>
    <row r="91" spans="1:11" x14ac:dyDescent="0.35">
      <c r="A91" s="61" t="s">
        <v>98</v>
      </c>
      <c r="B91" s="50" t="s">
        <v>162</v>
      </c>
      <c r="C91" s="50"/>
      <c r="D91" s="50" t="s">
        <v>176</v>
      </c>
      <c r="E91" s="50">
        <v>38830</v>
      </c>
      <c r="F91" s="51">
        <v>42631</v>
      </c>
      <c r="G91" s="50">
        <v>3</v>
      </c>
      <c r="H91" s="50" t="s">
        <v>179</v>
      </c>
      <c r="I91" s="52" t="s">
        <v>203</v>
      </c>
      <c r="J91" s="50"/>
      <c r="K91" s="50"/>
    </row>
    <row r="92" spans="1:11" x14ac:dyDescent="0.35">
      <c r="A92" s="61" t="s">
        <v>99</v>
      </c>
      <c r="B92" s="50"/>
      <c r="C92" s="50" t="s">
        <v>170</v>
      </c>
      <c r="D92" s="50" t="s">
        <v>175</v>
      </c>
      <c r="E92" s="50">
        <v>50741</v>
      </c>
      <c r="F92" s="51">
        <v>42638</v>
      </c>
      <c r="G92" s="50">
        <v>3</v>
      </c>
      <c r="H92" s="50" t="s">
        <v>178</v>
      </c>
      <c r="I92" s="52" t="s">
        <v>240</v>
      </c>
      <c r="J92" s="50"/>
      <c r="K92" s="50"/>
    </row>
    <row r="93" spans="1:11" x14ac:dyDescent="0.35">
      <c r="A93" s="61" t="s">
        <v>100</v>
      </c>
      <c r="B93" s="50" t="s">
        <v>160</v>
      </c>
      <c r="C93" s="50" t="s">
        <v>167</v>
      </c>
      <c r="D93" s="50" t="s">
        <v>176</v>
      </c>
      <c r="E93" s="50">
        <v>69420</v>
      </c>
      <c r="F93" s="51">
        <v>42645</v>
      </c>
      <c r="G93" s="50">
        <v>1</v>
      </c>
      <c r="H93" s="50" t="s">
        <v>180</v>
      </c>
      <c r="I93" s="52" t="s">
        <v>225</v>
      </c>
      <c r="J93" s="50"/>
      <c r="K93" s="50"/>
    </row>
    <row r="94" spans="1:11" x14ac:dyDescent="0.35">
      <c r="A94" s="61" t="s">
        <v>101</v>
      </c>
      <c r="B94" s="50" t="s">
        <v>162</v>
      </c>
      <c r="C94" s="50" t="s">
        <v>169</v>
      </c>
      <c r="D94" s="50"/>
      <c r="E94" s="50">
        <v>80588</v>
      </c>
      <c r="F94" s="51">
        <v>42652</v>
      </c>
      <c r="G94" s="50">
        <v>5</v>
      </c>
      <c r="H94" s="50" t="s">
        <v>180</v>
      </c>
      <c r="I94" s="52" t="s">
        <v>216</v>
      </c>
      <c r="J94" s="50"/>
      <c r="K94" s="50"/>
    </row>
    <row r="95" spans="1:11" x14ac:dyDescent="0.35">
      <c r="A95" s="61" t="s">
        <v>102</v>
      </c>
      <c r="B95" s="50" t="s">
        <v>160</v>
      </c>
      <c r="C95" s="50"/>
      <c r="D95" s="50" t="s">
        <v>173</v>
      </c>
      <c r="E95" s="50">
        <v>76238</v>
      </c>
      <c r="F95" s="51">
        <v>42659</v>
      </c>
      <c r="G95" s="50">
        <v>4</v>
      </c>
      <c r="H95" s="50" t="s">
        <v>180</v>
      </c>
      <c r="I95" s="52" t="s">
        <v>252</v>
      </c>
      <c r="J95" s="50"/>
      <c r="K95" s="50"/>
    </row>
    <row r="96" spans="1:11" x14ac:dyDescent="0.35">
      <c r="A96" s="61" t="s">
        <v>103</v>
      </c>
      <c r="B96" s="50" t="s">
        <v>165</v>
      </c>
      <c r="C96" s="50" t="s">
        <v>169</v>
      </c>
      <c r="D96" s="50" t="s">
        <v>174</v>
      </c>
      <c r="E96" s="50">
        <v>33264</v>
      </c>
      <c r="F96" s="51">
        <v>42666</v>
      </c>
      <c r="G96" s="50"/>
      <c r="H96" s="50" t="s">
        <v>181</v>
      </c>
      <c r="I96" s="52" t="s">
        <v>253</v>
      </c>
      <c r="J96" s="50"/>
      <c r="K96" s="50"/>
    </row>
    <row r="97" spans="1:11" x14ac:dyDescent="0.35">
      <c r="A97" s="61" t="s">
        <v>104</v>
      </c>
      <c r="B97" s="50" t="s">
        <v>160</v>
      </c>
      <c r="C97" s="50" t="s">
        <v>166</v>
      </c>
      <c r="D97" s="50" t="s">
        <v>176</v>
      </c>
      <c r="E97" s="50">
        <v>96101</v>
      </c>
      <c r="F97" s="51">
        <v>42673</v>
      </c>
      <c r="G97" s="50"/>
      <c r="H97" s="50" t="s">
        <v>179</v>
      </c>
      <c r="I97" s="52" t="s">
        <v>254</v>
      </c>
      <c r="J97" s="50"/>
      <c r="K97" s="50"/>
    </row>
    <row r="98" spans="1:11" x14ac:dyDescent="0.35">
      <c r="A98" s="61" t="s">
        <v>105</v>
      </c>
      <c r="B98" s="50" t="s">
        <v>162</v>
      </c>
      <c r="C98" s="50" t="s">
        <v>166</v>
      </c>
      <c r="D98" s="50" t="s">
        <v>173</v>
      </c>
      <c r="E98" s="50">
        <v>72939</v>
      </c>
      <c r="F98" s="51">
        <v>42680</v>
      </c>
      <c r="G98" s="50">
        <v>3</v>
      </c>
      <c r="H98" s="50"/>
      <c r="I98" s="52" t="s">
        <v>255</v>
      </c>
      <c r="J98" s="50"/>
      <c r="K98" s="50"/>
    </row>
    <row r="99" spans="1:11" x14ac:dyDescent="0.35">
      <c r="A99" s="61" t="s">
        <v>106</v>
      </c>
      <c r="B99" s="50" t="s">
        <v>163</v>
      </c>
      <c r="C99" s="50" t="s">
        <v>167</v>
      </c>
      <c r="D99" s="50" t="s">
        <v>172</v>
      </c>
      <c r="E99" s="50">
        <v>89333</v>
      </c>
      <c r="F99" s="51">
        <v>42687</v>
      </c>
      <c r="G99" s="50">
        <v>1</v>
      </c>
      <c r="H99" s="50" t="s">
        <v>180</v>
      </c>
      <c r="I99" s="52" t="s">
        <v>256</v>
      </c>
      <c r="J99" s="50"/>
      <c r="K99" s="50"/>
    </row>
    <row r="100" spans="1:11" x14ac:dyDescent="0.35">
      <c r="A100" s="61" t="s">
        <v>107</v>
      </c>
      <c r="B100" s="50" t="s">
        <v>165</v>
      </c>
      <c r="C100" s="50" t="s">
        <v>169</v>
      </c>
      <c r="D100" s="50" t="s">
        <v>176</v>
      </c>
      <c r="E100" s="50">
        <v>70470</v>
      </c>
      <c r="F100" s="51">
        <v>42694</v>
      </c>
      <c r="G100" s="50"/>
      <c r="H100" s="50" t="s">
        <v>180</v>
      </c>
      <c r="I100" s="52" t="s">
        <v>257</v>
      </c>
      <c r="J100" s="50"/>
      <c r="K100" s="50"/>
    </row>
    <row r="101" spans="1:11" x14ac:dyDescent="0.35">
      <c r="A101" s="61" t="s">
        <v>108</v>
      </c>
      <c r="B101" s="50" t="s">
        <v>159</v>
      </c>
      <c r="C101" s="50" t="s">
        <v>170</v>
      </c>
      <c r="D101" s="50" t="s">
        <v>173</v>
      </c>
      <c r="E101" s="50">
        <v>70096</v>
      </c>
      <c r="F101" s="51">
        <v>42701</v>
      </c>
      <c r="G101" s="50">
        <v>4</v>
      </c>
      <c r="H101" s="50" t="s">
        <v>180</v>
      </c>
      <c r="I101" s="52" t="s">
        <v>258</v>
      </c>
      <c r="J101" s="50"/>
      <c r="K101" s="50"/>
    </row>
    <row r="102" spans="1:11" x14ac:dyDescent="0.35">
      <c r="A102" s="61" t="s">
        <v>109</v>
      </c>
      <c r="B102" s="50" t="s">
        <v>165</v>
      </c>
      <c r="C102" s="50" t="s">
        <v>170</v>
      </c>
      <c r="D102" s="50" t="s">
        <v>171</v>
      </c>
      <c r="E102" s="50" t="s">
        <v>177</v>
      </c>
      <c r="F102" s="51">
        <v>42708</v>
      </c>
      <c r="G102" s="50">
        <v>2</v>
      </c>
      <c r="H102" s="50" t="s">
        <v>179</v>
      </c>
      <c r="I102" s="52" t="s">
        <v>259</v>
      </c>
      <c r="J102" s="50"/>
      <c r="K102" s="50"/>
    </row>
    <row r="103" spans="1:11" x14ac:dyDescent="0.35">
      <c r="A103" s="61" t="s">
        <v>110</v>
      </c>
      <c r="B103" s="50" t="s">
        <v>165</v>
      </c>
      <c r="C103" s="50" t="s">
        <v>169</v>
      </c>
      <c r="D103" s="50" t="s">
        <v>172</v>
      </c>
      <c r="E103" s="50">
        <v>66503</v>
      </c>
      <c r="F103" s="51">
        <v>42715</v>
      </c>
      <c r="G103" s="50"/>
      <c r="H103" s="50" t="s">
        <v>180</v>
      </c>
      <c r="I103" s="52" t="s">
        <v>200</v>
      </c>
      <c r="J103" s="50"/>
      <c r="K103" s="50"/>
    </row>
    <row r="104" spans="1:11" x14ac:dyDescent="0.35">
      <c r="A104" s="61" t="s">
        <v>111</v>
      </c>
      <c r="B104" s="50" t="s">
        <v>160</v>
      </c>
      <c r="C104" s="50" t="s">
        <v>167</v>
      </c>
      <c r="D104" s="50" t="s">
        <v>172</v>
      </c>
      <c r="E104" s="50">
        <v>42096</v>
      </c>
      <c r="F104" s="51">
        <v>42722</v>
      </c>
      <c r="G104" s="50"/>
      <c r="H104" s="50" t="s">
        <v>181</v>
      </c>
      <c r="I104" s="52" t="s">
        <v>260</v>
      </c>
      <c r="J104" s="50"/>
      <c r="K104" s="50"/>
    </row>
    <row r="105" spans="1:11" x14ac:dyDescent="0.35">
      <c r="A105" s="61" t="s">
        <v>112</v>
      </c>
      <c r="B105" s="50" t="s">
        <v>160</v>
      </c>
      <c r="C105" s="50" t="s">
        <v>170</v>
      </c>
      <c r="D105" s="50"/>
      <c r="E105" s="50">
        <v>79145</v>
      </c>
      <c r="F105" s="51">
        <v>42729</v>
      </c>
      <c r="G105" s="50">
        <v>5</v>
      </c>
      <c r="H105" s="50" t="s">
        <v>179</v>
      </c>
      <c r="I105" s="52" t="s">
        <v>223</v>
      </c>
      <c r="J105" s="50"/>
      <c r="K105" s="50"/>
    </row>
    <row r="106" spans="1:11" x14ac:dyDescent="0.35">
      <c r="A106" s="61" t="s">
        <v>113</v>
      </c>
      <c r="B106" s="50" t="s">
        <v>162</v>
      </c>
      <c r="C106" s="50"/>
      <c r="D106" s="50" t="s">
        <v>176</v>
      </c>
      <c r="E106" s="50">
        <v>61556</v>
      </c>
      <c r="F106" s="51">
        <v>42736</v>
      </c>
      <c r="G106" s="50">
        <v>1</v>
      </c>
      <c r="H106" s="50"/>
      <c r="I106" s="52" t="s">
        <v>259</v>
      </c>
      <c r="J106" s="50"/>
      <c r="K106" s="50"/>
    </row>
    <row r="107" spans="1:11" x14ac:dyDescent="0.35">
      <c r="A107" s="61" t="s">
        <v>114</v>
      </c>
      <c r="B107" s="50"/>
      <c r="C107" s="50" t="s">
        <v>167</v>
      </c>
      <c r="D107" s="50" t="s">
        <v>175</v>
      </c>
      <c r="E107" s="50">
        <v>87963</v>
      </c>
      <c r="F107" s="51">
        <v>42743</v>
      </c>
      <c r="G107" s="50">
        <v>3</v>
      </c>
      <c r="H107" s="50" t="s">
        <v>179</v>
      </c>
      <c r="I107" s="52" t="s">
        <v>182</v>
      </c>
      <c r="J107" s="50"/>
      <c r="K107" s="50"/>
    </row>
    <row r="108" spans="1:11" x14ac:dyDescent="0.35">
      <c r="A108" s="61" t="s">
        <v>115</v>
      </c>
      <c r="B108" s="50" t="s">
        <v>159</v>
      </c>
      <c r="C108" s="50" t="s">
        <v>169</v>
      </c>
      <c r="D108" s="50"/>
      <c r="E108" s="50">
        <v>48325</v>
      </c>
      <c r="F108" s="51">
        <v>42750</v>
      </c>
      <c r="G108" s="50"/>
      <c r="H108" s="50" t="s">
        <v>180</v>
      </c>
      <c r="I108" s="52" t="s">
        <v>261</v>
      </c>
      <c r="J108" s="50"/>
      <c r="K108" s="50"/>
    </row>
    <row r="109" spans="1:11" x14ac:dyDescent="0.35">
      <c r="A109" s="61" t="s">
        <v>116</v>
      </c>
      <c r="B109" s="50" t="s">
        <v>163</v>
      </c>
      <c r="C109" s="50" t="s">
        <v>170</v>
      </c>
      <c r="D109" s="50" t="s">
        <v>176</v>
      </c>
      <c r="E109" s="50">
        <v>86412</v>
      </c>
      <c r="F109" s="51">
        <v>42757</v>
      </c>
      <c r="G109" s="50">
        <v>2</v>
      </c>
      <c r="H109" s="50" t="s">
        <v>181</v>
      </c>
      <c r="I109" s="52" t="s">
        <v>202</v>
      </c>
      <c r="J109" s="50"/>
      <c r="K109" s="50"/>
    </row>
    <row r="110" spans="1:11" x14ac:dyDescent="0.35">
      <c r="A110" s="61" t="s">
        <v>117</v>
      </c>
      <c r="B110" s="50" t="s">
        <v>163</v>
      </c>
      <c r="C110" s="50" t="s">
        <v>167</v>
      </c>
      <c r="D110" s="50"/>
      <c r="E110" s="50">
        <v>66761</v>
      </c>
      <c r="F110" s="51">
        <v>42764</v>
      </c>
      <c r="G110" s="50">
        <v>1</v>
      </c>
      <c r="H110" s="50"/>
      <c r="I110" s="52" t="s">
        <v>262</v>
      </c>
      <c r="J110" s="50"/>
      <c r="K110" s="50"/>
    </row>
    <row r="111" spans="1:11" x14ac:dyDescent="0.35">
      <c r="A111" s="61" t="s">
        <v>118</v>
      </c>
      <c r="B111" s="50" t="s">
        <v>162</v>
      </c>
      <c r="C111" s="50"/>
      <c r="D111" s="50" t="s">
        <v>174</v>
      </c>
      <c r="E111" s="50">
        <v>88850</v>
      </c>
      <c r="F111" s="51">
        <v>42771</v>
      </c>
      <c r="G111" s="50">
        <v>1</v>
      </c>
      <c r="H111" s="50" t="s">
        <v>181</v>
      </c>
      <c r="I111" s="52" t="s">
        <v>263</v>
      </c>
      <c r="J111" s="50"/>
      <c r="K111" s="50"/>
    </row>
    <row r="112" spans="1:11" x14ac:dyDescent="0.35">
      <c r="A112" s="61" t="s">
        <v>119</v>
      </c>
      <c r="B112" s="50" t="s">
        <v>164</v>
      </c>
      <c r="C112" s="50" t="s">
        <v>168</v>
      </c>
      <c r="D112" s="50" t="s">
        <v>174</v>
      </c>
      <c r="E112" s="50">
        <v>31293</v>
      </c>
      <c r="F112" s="50"/>
      <c r="G112" s="50">
        <v>2</v>
      </c>
      <c r="H112" s="50" t="s">
        <v>181</v>
      </c>
      <c r="I112" s="52" t="s">
        <v>264</v>
      </c>
      <c r="J112" s="50"/>
      <c r="K112" s="50"/>
    </row>
    <row r="113" spans="1:11" x14ac:dyDescent="0.35">
      <c r="A113" s="61" t="s">
        <v>120</v>
      </c>
      <c r="B113" s="50" t="s">
        <v>164</v>
      </c>
      <c r="C113" s="50" t="s">
        <v>169</v>
      </c>
      <c r="D113" s="50" t="s">
        <v>173</v>
      </c>
      <c r="E113" s="50">
        <v>34306</v>
      </c>
      <c r="F113" s="51">
        <v>42785</v>
      </c>
      <c r="G113" s="50">
        <v>5</v>
      </c>
      <c r="H113" s="50" t="s">
        <v>181</v>
      </c>
      <c r="I113" s="52" t="s">
        <v>239</v>
      </c>
      <c r="J113" s="50"/>
      <c r="K113" s="50"/>
    </row>
    <row r="114" spans="1:11" x14ac:dyDescent="0.35">
      <c r="A114" s="61" t="s">
        <v>121</v>
      </c>
      <c r="B114" s="50" t="s">
        <v>159</v>
      </c>
      <c r="C114" s="50" t="s">
        <v>166</v>
      </c>
      <c r="D114" s="50" t="s">
        <v>174</v>
      </c>
      <c r="E114" s="50">
        <v>78330</v>
      </c>
      <c r="F114" s="51">
        <v>42792</v>
      </c>
      <c r="G114" s="50"/>
      <c r="H114" s="50" t="s">
        <v>179</v>
      </c>
      <c r="I114" s="52" t="s">
        <v>258</v>
      </c>
      <c r="J114" s="50"/>
      <c r="K114" s="50"/>
    </row>
    <row r="115" spans="1:11" x14ac:dyDescent="0.35">
      <c r="A115" s="61" t="s">
        <v>122</v>
      </c>
      <c r="B115" s="50" t="s">
        <v>160</v>
      </c>
      <c r="C115" s="50" t="s">
        <v>169</v>
      </c>
      <c r="D115" s="50" t="s">
        <v>173</v>
      </c>
      <c r="E115" s="50">
        <v>47653</v>
      </c>
      <c r="F115" s="51">
        <v>42799</v>
      </c>
      <c r="G115" s="50">
        <v>1</v>
      </c>
      <c r="H115" s="50" t="s">
        <v>180</v>
      </c>
      <c r="I115" s="52" t="s">
        <v>265</v>
      </c>
      <c r="J115" s="50"/>
      <c r="K115" s="50"/>
    </row>
    <row r="116" spans="1:11" x14ac:dyDescent="0.35">
      <c r="A116" s="61" t="s">
        <v>123</v>
      </c>
      <c r="B116" s="50" t="s">
        <v>159</v>
      </c>
      <c r="C116" s="50" t="s">
        <v>170</v>
      </c>
      <c r="D116" s="50" t="s">
        <v>175</v>
      </c>
      <c r="E116" s="50">
        <v>44627</v>
      </c>
      <c r="F116" s="51">
        <v>42806</v>
      </c>
      <c r="G116" s="50">
        <v>4</v>
      </c>
      <c r="H116" s="50"/>
      <c r="I116" s="52" t="s">
        <v>235</v>
      </c>
      <c r="J116" s="50"/>
      <c r="K116" s="50"/>
    </row>
    <row r="117" spans="1:11" x14ac:dyDescent="0.35">
      <c r="A117" s="61" t="s">
        <v>124</v>
      </c>
      <c r="B117" s="50" t="s">
        <v>165</v>
      </c>
      <c r="C117" s="50" t="s">
        <v>167</v>
      </c>
      <c r="D117" s="50" t="s">
        <v>172</v>
      </c>
      <c r="E117" s="50">
        <v>92343</v>
      </c>
      <c r="F117" s="51">
        <v>42813</v>
      </c>
      <c r="G117" s="50">
        <v>4</v>
      </c>
      <c r="H117" s="50" t="s">
        <v>181</v>
      </c>
      <c r="I117" s="52" t="s">
        <v>203</v>
      </c>
      <c r="J117" s="50"/>
      <c r="K117" s="50"/>
    </row>
    <row r="118" spans="1:11" x14ac:dyDescent="0.35">
      <c r="A118" s="61" t="s">
        <v>125</v>
      </c>
      <c r="B118" s="50" t="s">
        <v>165</v>
      </c>
      <c r="C118" s="50" t="s">
        <v>170</v>
      </c>
      <c r="D118" s="50" t="s">
        <v>176</v>
      </c>
      <c r="E118" s="50">
        <v>38837</v>
      </c>
      <c r="F118" s="51">
        <v>42820</v>
      </c>
      <c r="G118" s="50">
        <v>5</v>
      </c>
      <c r="H118" s="50" t="s">
        <v>181</v>
      </c>
      <c r="I118" s="52" t="s">
        <v>239</v>
      </c>
      <c r="J118" s="50"/>
      <c r="K118" s="50"/>
    </row>
    <row r="119" spans="1:11" x14ac:dyDescent="0.35">
      <c r="A119" s="61" t="s">
        <v>126</v>
      </c>
      <c r="B119" s="50" t="s">
        <v>165</v>
      </c>
      <c r="C119" s="50" t="s">
        <v>170</v>
      </c>
      <c r="D119" s="50"/>
      <c r="E119" s="50">
        <v>73483</v>
      </c>
      <c r="F119" s="51">
        <v>42827</v>
      </c>
      <c r="G119" s="50">
        <v>1</v>
      </c>
      <c r="H119" s="50"/>
      <c r="I119" s="52" t="s">
        <v>266</v>
      </c>
      <c r="J119" s="50"/>
      <c r="K119" s="50"/>
    </row>
    <row r="120" spans="1:11" x14ac:dyDescent="0.35">
      <c r="A120" s="61" t="s">
        <v>127</v>
      </c>
      <c r="B120" s="50" t="s">
        <v>164</v>
      </c>
      <c r="C120" s="50" t="s">
        <v>168</v>
      </c>
      <c r="D120" s="50" t="s">
        <v>174</v>
      </c>
      <c r="E120" s="50">
        <v>95032</v>
      </c>
      <c r="F120" s="51">
        <v>42834</v>
      </c>
      <c r="G120" s="50">
        <v>3</v>
      </c>
      <c r="H120" s="50"/>
      <c r="I120" s="52" t="s">
        <v>267</v>
      </c>
      <c r="J120" s="50"/>
      <c r="K120" s="50"/>
    </row>
    <row r="121" spans="1:11" x14ac:dyDescent="0.35">
      <c r="A121" s="61" t="s">
        <v>128</v>
      </c>
      <c r="B121" s="50" t="s">
        <v>159</v>
      </c>
      <c r="C121" s="50" t="s">
        <v>168</v>
      </c>
      <c r="D121" s="50" t="s">
        <v>176</v>
      </c>
      <c r="E121" s="50">
        <v>44358</v>
      </c>
      <c r="F121" s="51">
        <v>42841</v>
      </c>
      <c r="G121" s="50"/>
      <c r="H121" s="50" t="s">
        <v>181</v>
      </c>
      <c r="I121" s="52" t="s">
        <v>200</v>
      </c>
      <c r="J121" s="50"/>
      <c r="K121" s="50"/>
    </row>
    <row r="122" spans="1:11" x14ac:dyDescent="0.35">
      <c r="A122" s="61" t="s">
        <v>129</v>
      </c>
      <c r="B122" s="50"/>
      <c r="C122" s="50" t="s">
        <v>169</v>
      </c>
      <c r="D122" s="50" t="s">
        <v>173</v>
      </c>
      <c r="E122" s="50" t="s">
        <v>177</v>
      </c>
      <c r="F122" s="50"/>
      <c r="G122" s="50">
        <v>5</v>
      </c>
      <c r="H122" s="50" t="s">
        <v>178</v>
      </c>
      <c r="I122" s="52" t="s">
        <v>268</v>
      </c>
      <c r="J122" s="50"/>
      <c r="K122" s="50"/>
    </row>
    <row r="123" spans="1:11" x14ac:dyDescent="0.35">
      <c r="A123" s="61" t="s">
        <v>130</v>
      </c>
      <c r="B123" s="50" t="s">
        <v>164</v>
      </c>
      <c r="C123" s="50" t="s">
        <v>168</v>
      </c>
      <c r="D123" s="50" t="s">
        <v>173</v>
      </c>
      <c r="E123" s="50">
        <v>45676</v>
      </c>
      <c r="F123" s="51">
        <v>42855</v>
      </c>
      <c r="G123" s="50">
        <v>2</v>
      </c>
      <c r="H123" s="50"/>
      <c r="I123" s="52" t="s">
        <v>269</v>
      </c>
      <c r="J123" s="50"/>
      <c r="K123" s="50"/>
    </row>
    <row r="124" spans="1:11" x14ac:dyDescent="0.35">
      <c r="A124" s="61" t="s">
        <v>131</v>
      </c>
      <c r="B124" s="50" t="s">
        <v>165</v>
      </c>
      <c r="C124" s="50" t="s">
        <v>168</v>
      </c>
      <c r="D124" s="50" t="s">
        <v>172</v>
      </c>
      <c r="E124" s="50">
        <v>52036</v>
      </c>
      <c r="F124" s="51">
        <v>42862</v>
      </c>
      <c r="G124" s="50">
        <v>3</v>
      </c>
      <c r="H124" s="50" t="s">
        <v>180</v>
      </c>
      <c r="I124" s="52" t="s">
        <v>270</v>
      </c>
      <c r="J124" s="50"/>
      <c r="K124" s="50"/>
    </row>
    <row r="125" spans="1:11" x14ac:dyDescent="0.35">
      <c r="A125" s="61" t="s">
        <v>132</v>
      </c>
      <c r="B125" s="50" t="s">
        <v>162</v>
      </c>
      <c r="C125" s="50"/>
      <c r="D125" s="50" t="s">
        <v>172</v>
      </c>
      <c r="E125" s="50">
        <v>30357</v>
      </c>
      <c r="F125" s="51">
        <v>42869</v>
      </c>
      <c r="G125" s="50">
        <v>5</v>
      </c>
      <c r="H125" s="50" t="s">
        <v>180</v>
      </c>
      <c r="I125" s="52" t="s">
        <v>248</v>
      </c>
      <c r="J125" s="50"/>
      <c r="K125" s="50"/>
    </row>
    <row r="126" spans="1:11" x14ac:dyDescent="0.35">
      <c r="A126" s="61" t="s">
        <v>133</v>
      </c>
      <c r="B126" s="50" t="s">
        <v>161</v>
      </c>
      <c r="C126" s="50" t="s">
        <v>169</v>
      </c>
      <c r="D126" s="50"/>
      <c r="E126" s="50">
        <v>60034</v>
      </c>
      <c r="F126" s="51">
        <v>42876</v>
      </c>
      <c r="G126" s="50">
        <v>1</v>
      </c>
      <c r="H126" s="50" t="s">
        <v>181</v>
      </c>
      <c r="I126" s="52" t="s">
        <v>271</v>
      </c>
      <c r="J126" s="50"/>
      <c r="K126" s="50"/>
    </row>
    <row r="127" spans="1:11" x14ac:dyDescent="0.35">
      <c r="A127" s="61" t="s">
        <v>134</v>
      </c>
      <c r="B127" s="50" t="s">
        <v>161</v>
      </c>
      <c r="C127" s="50" t="s">
        <v>166</v>
      </c>
      <c r="D127" s="50" t="s">
        <v>171</v>
      </c>
      <c r="E127" s="50">
        <v>90019</v>
      </c>
      <c r="F127" s="51">
        <v>42883</v>
      </c>
      <c r="G127" s="50">
        <v>5</v>
      </c>
      <c r="H127" s="50"/>
      <c r="I127" s="52" t="s">
        <v>272</v>
      </c>
      <c r="J127" s="50"/>
      <c r="K127" s="50"/>
    </row>
    <row r="128" spans="1:11" x14ac:dyDescent="0.35">
      <c r="A128" s="61" t="s">
        <v>135</v>
      </c>
      <c r="B128" s="50" t="s">
        <v>165</v>
      </c>
      <c r="C128" s="50"/>
      <c r="D128" s="50" t="s">
        <v>172</v>
      </c>
      <c r="E128" s="50">
        <v>71494</v>
      </c>
      <c r="F128" s="51">
        <v>42890</v>
      </c>
      <c r="G128" s="50">
        <v>3</v>
      </c>
      <c r="H128" s="50" t="s">
        <v>180</v>
      </c>
      <c r="I128" s="52" t="s">
        <v>273</v>
      </c>
      <c r="J128" s="50"/>
      <c r="K128" s="50"/>
    </row>
    <row r="129" spans="1:13" x14ac:dyDescent="0.35">
      <c r="A129" s="61" t="s">
        <v>136</v>
      </c>
      <c r="B129" s="50" t="s">
        <v>161</v>
      </c>
      <c r="C129" s="50" t="s">
        <v>166</v>
      </c>
      <c r="D129" s="50" t="s">
        <v>173</v>
      </c>
      <c r="E129" s="50">
        <v>91953</v>
      </c>
      <c r="F129" s="51">
        <v>42897</v>
      </c>
      <c r="G129" s="50">
        <v>2</v>
      </c>
      <c r="H129" s="50" t="s">
        <v>180</v>
      </c>
      <c r="I129" s="52" t="s">
        <v>209</v>
      </c>
      <c r="J129" s="50"/>
      <c r="K129" s="50"/>
    </row>
    <row r="130" spans="1:13" x14ac:dyDescent="0.35">
      <c r="A130" s="61" t="s">
        <v>137</v>
      </c>
      <c r="B130" s="50" t="s">
        <v>164</v>
      </c>
      <c r="C130" s="50" t="s">
        <v>168</v>
      </c>
      <c r="D130" s="50" t="s">
        <v>173</v>
      </c>
      <c r="E130" s="50">
        <v>30402</v>
      </c>
      <c r="F130" s="51">
        <v>42904</v>
      </c>
      <c r="G130" s="50">
        <v>1</v>
      </c>
      <c r="H130" s="50"/>
      <c r="I130" s="52" t="s">
        <v>274</v>
      </c>
      <c r="J130" s="50"/>
      <c r="K130" s="50"/>
    </row>
    <row r="131" spans="1:13" x14ac:dyDescent="0.35">
      <c r="A131" s="61" t="s">
        <v>138</v>
      </c>
      <c r="B131" s="50" t="s">
        <v>165</v>
      </c>
      <c r="C131" s="50"/>
      <c r="D131" s="50" t="s">
        <v>175</v>
      </c>
      <c r="E131" s="50">
        <v>62994</v>
      </c>
      <c r="F131" s="51">
        <v>42911</v>
      </c>
      <c r="G131" s="50"/>
      <c r="H131" s="50"/>
      <c r="I131" s="52" t="s">
        <v>221</v>
      </c>
      <c r="J131" s="50"/>
      <c r="K131" s="50"/>
    </row>
    <row r="132" spans="1:13" x14ac:dyDescent="0.35">
      <c r="A132" s="61" t="s">
        <v>139</v>
      </c>
      <c r="B132" s="50" t="s">
        <v>160</v>
      </c>
      <c r="C132" s="50" t="s">
        <v>168</v>
      </c>
      <c r="D132" s="50" t="s">
        <v>174</v>
      </c>
      <c r="E132" s="50">
        <v>48289</v>
      </c>
      <c r="F132" s="50"/>
      <c r="G132" s="50">
        <v>3</v>
      </c>
      <c r="H132" s="50" t="s">
        <v>180</v>
      </c>
      <c r="I132" s="52" t="s">
        <v>189</v>
      </c>
      <c r="J132" s="50"/>
      <c r="K132" s="50"/>
    </row>
    <row r="133" spans="1:13" x14ac:dyDescent="0.35">
      <c r="A133" s="61" t="s">
        <v>140</v>
      </c>
      <c r="B133" s="50" t="s">
        <v>163</v>
      </c>
      <c r="C133" s="50" t="s">
        <v>170</v>
      </c>
      <c r="D133" s="50" t="s">
        <v>172</v>
      </c>
      <c r="E133" s="50">
        <v>34402</v>
      </c>
      <c r="F133" s="51">
        <v>42925</v>
      </c>
      <c r="G133" s="50">
        <v>3</v>
      </c>
      <c r="H133" s="50" t="s">
        <v>179</v>
      </c>
      <c r="I133" s="52" t="s">
        <v>218</v>
      </c>
      <c r="J133" s="50"/>
      <c r="K133" s="50"/>
    </row>
    <row r="134" spans="1:13" x14ac:dyDescent="0.35">
      <c r="A134" s="61" t="s">
        <v>141</v>
      </c>
      <c r="B134" s="50" t="s">
        <v>159</v>
      </c>
      <c r="C134" s="50" t="s">
        <v>167</v>
      </c>
      <c r="D134" s="50" t="s">
        <v>173</v>
      </c>
      <c r="E134" s="50">
        <v>38678</v>
      </c>
      <c r="F134" s="51">
        <v>42932</v>
      </c>
      <c r="G134" s="50">
        <v>3</v>
      </c>
      <c r="H134" s="50" t="s">
        <v>179</v>
      </c>
      <c r="I134" s="52" t="s">
        <v>275</v>
      </c>
      <c r="J134" s="50"/>
      <c r="K134" s="50"/>
    </row>
    <row r="135" spans="1:13" x14ac:dyDescent="0.35">
      <c r="A135" s="61" t="s">
        <v>142</v>
      </c>
      <c r="B135" s="50" t="s">
        <v>164</v>
      </c>
      <c r="C135" s="50" t="s">
        <v>167</v>
      </c>
      <c r="D135" s="50" t="s">
        <v>172</v>
      </c>
      <c r="E135" s="50">
        <v>45758</v>
      </c>
      <c r="F135" s="51">
        <v>42939</v>
      </c>
      <c r="G135" s="50">
        <v>3</v>
      </c>
      <c r="H135" s="50"/>
      <c r="I135" s="52" t="s">
        <v>264</v>
      </c>
      <c r="J135" s="50"/>
      <c r="K135" s="50"/>
    </row>
    <row r="136" spans="1:13" x14ac:dyDescent="0.35">
      <c r="A136" s="61" t="s">
        <v>143</v>
      </c>
      <c r="B136" s="50" t="s">
        <v>159</v>
      </c>
      <c r="C136" s="50" t="s">
        <v>170</v>
      </c>
      <c r="D136" s="50" t="s">
        <v>174</v>
      </c>
      <c r="E136" s="50">
        <v>62476</v>
      </c>
      <c r="F136" s="51">
        <v>42946</v>
      </c>
      <c r="G136" s="50">
        <v>1</v>
      </c>
      <c r="H136" s="50" t="s">
        <v>179</v>
      </c>
      <c r="I136" s="52" t="s">
        <v>231</v>
      </c>
      <c r="J136" s="50"/>
      <c r="K136" s="50"/>
      <c r="M136" s="60"/>
    </row>
    <row r="137" spans="1:13" x14ac:dyDescent="0.35">
      <c r="A137" s="61" t="s">
        <v>144</v>
      </c>
      <c r="B137" s="50"/>
      <c r="C137" s="50" t="s">
        <v>169</v>
      </c>
      <c r="D137" s="50" t="s">
        <v>175</v>
      </c>
      <c r="E137" s="50">
        <v>39280</v>
      </c>
      <c r="F137" s="51">
        <v>42953</v>
      </c>
      <c r="G137" s="50">
        <v>3</v>
      </c>
      <c r="H137" s="50" t="s">
        <v>181</v>
      </c>
      <c r="I137" s="52" t="s">
        <v>214</v>
      </c>
      <c r="J137" s="50"/>
      <c r="K137" s="50"/>
    </row>
    <row r="138" spans="1:13" x14ac:dyDescent="0.35">
      <c r="A138" s="61" t="s">
        <v>145</v>
      </c>
      <c r="B138" s="50" t="s">
        <v>162</v>
      </c>
      <c r="C138" s="50" t="s">
        <v>166</v>
      </c>
      <c r="D138" s="50" t="s">
        <v>174</v>
      </c>
      <c r="E138" s="50">
        <v>60335</v>
      </c>
      <c r="F138" s="51">
        <v>42960</v>
      </c>
      <c r="G138" s="50">
        <v>4</v>
      </c>
      <c r="H138" s="50" t="s">
        <v>179</v>
      </c>
      <c r="I138" s="52" t="s">
        <v>227</v>
      </c>
      <c r="J138" s="50"/>
      <c r="K138" s="50"/>
    </row>
    <row r="139" spans="1:13" x14ac:dyDescent="0.35">
      <c r="A139" s="61" t="s">
        <v>146</v>
      </c>
      <c r="B139" s="50" t="s">
        <v>164</v>
      </c>
      <c r="C139" s="50" t="s">
        <v>167</v>
      </c>
      <c r="D139" s="50" t="s">
        <v>172</v>
      </c>
      <c r="E139" s="50">
        <v>84968</v>
      </c>
      <c r="F139" s="51">
        <v>42967</v>
      </c>
      <c r="G139" s="50"/>
      <c r="H139" s="50"/>
      <c r="I139" s="52" t="s">
        <v>276</v>
      </c>
      <c r="J139" s="50"/>
      <c r="K139" s="50"/>
    </row>
    <row r="140" spans="1:13" x14ac:dyDescent="0.35">
      <c r="A140" s="61" t="s">
        <v>147</v>
      </c>
      <c r="B140" s="50" t="s">
        <v>164</v>
      </c>
      <c r="C140" s="50" t="s">
        <v>170</v>
      </c>
      <c r="D140" s="50" t="s">
        <v>176</v>
      </c>
      <c r="E140" s="50">
        <v>84750</v>
      </c>
      <c r="F140" s="51">
        <v>42974</v>
      </c>
      <c r="G140" s="50">
        <v>4</v>
      </c>
      <c r="H140" s="50" t="s">
        <v>181</v>
      </c>
      <c r="I140" s="52" t="s">
        <v>195</v>
      </c>
      <c r="J140" s="50"/>
      <c r="K140" s="50"/>
    </row>
    <row r="141" spans="1:13" x14ac:dyDescent="0.35">
      <c r="A141" s="61" t="s">
        <v>148</v>
      </c>
      <c r="B141" s="50" t="s">
        <v>165</v>
      </c>
      <c r="C141" s="50" t="s">
        <v>169</v>
      </c>
      <c r="D141" s="50"/>
      <c r="E141" s="50">
        <v>73348</v>
      </c>
      <c r="F141" s="51">
        <v>42981</v>
      </c>
      <c r="G141" s="50">
        <v>2</v>
      </c>
      <c r="H141" s="50"/>
      <c r="I141" s="52" t="s">
        <v>243</v>
      </c>
      <c r="J141" s="50"/>
      <c r="K141" s="50"/>
    </row>
    <row r="142" spans="1:13" x14ac:dyDescent="0.35">
      <c r="A142" s="61" t="s">
        <v>149</v>
      </c>
      <c r="B142" s="50" t="s">
        <v>164</v>
      </c>
      <c r="C142" s="50" t="s">
        <v>168</v>
      </c>
      <c r="D142" s="50" t="s">
        <v>173</v>
      </c>
      <c r="E142" s="50" t="s">
        <v>177</v>
      </c>
      <c r="F142" s="51">
        <v>42988</v>
      </c>
      <c r="G142" s="50">
        <v>4</v>
      </c>
      <c r="H142" s="50" t="s">
        <v>179</v>
      </c>
      <c r="I142" s="52" t="s">
        <v>182</v>
      </c>
      <c r="J142" s="50"/>
      <c r="K142" s="50"/>
    </row>
    <row r="143" spans="1:13" x14ac:dyDescent="0.35">
      <c r="A143" s="61" t="s">
        <v>150</v>
      </c>
      <c r="B143" s="50" t="s">
        <v>162</v>
      </c>
      <c r="C143" s="50" t="s">
        <v>170</v>
      </c>
      <c r="D143" s="50" t="s">
        <v>173</v>
      </c>
      <c r="E143" s="50">
        <v>66882</v>
      </c>
      <c r="F143" s="51">
        <v>42995</v>
      </c>
      <c r="G143" s="50">
        <v>5</v>
      </c>
      <c r="H143" s="50" t="s">
        <v>179</v>
      </c>
      <c r="I143" s="52" t="s">
        <v>207</v>
      </c>
      <c r="J143" s="50"/>
      <c r="K143" s="50"/>
    </row>
    <row r="144" spans="1:13" x14ac:dyDescent="0.35">
      <c r="A144" s="61" t="s">
        <v>151</v>
      </c>
      <c r="B144" s="50" t="s">
        <v>160</v>
      </c>
      <c r="C144" s="50" t="s">
        <v>170</v>
      </c>
      <c r="D144" s="50"/>
      <c r="E144" s="50">
        <v>86775</v>
      </c>
      <c r="F144" s="51">
        <v>43002</v>
      </c>
      <c r="G144" s="50">
        <v>3</v>
      </c>
      <c r="H144" s="50" t="s">
        <v>179</v>
      </c>
      <c r="I144" s="52" t="s">
        <v>212</v>
      </c>
      <c r="J144" s="50"/>
      <c r="K144" s="50"/>
    </row>
    <row r="145" spans="1:11" x14ac:dyDescent="0.35">
      <c r="A145" s="61" t="s">
        <v>152</v>
      </c>
      <c r="B145" s="50" t="s">
        <v>164</v>
      </c>
      <c r="C145" s="50" t="s">
        <v>168</v>
      </c>
      <c r="D145" s="50" t="s">
        <v>175</v>
      </c>
      <c r="E145" s="50">
        <v>91620</v>
      </c>
      <c r="F145" s="51">
        <v>43009</v>
      </c>
      <c r="G145" s="50"/>
      <c r="H145" s="50"/>
      <c r="I145" s="52" t="s">
        <v>277</v>
      </c>
      <c r="J145" s="50"/>
      <c r="K145" s="50"/>
    </row>
    <row r="146" spans="1:11" x14ac:dyDescent="0.35">
      <c r="A146" s="61" t="s">
        <v>153</v>
      </c>
      <c r="B146" s="50" t="s">
        <v>159</v>
      </c>
      <c r="C146" s="50"/>
      <c r="D146" s="50"/>
      <c r="E146" s="50">
        <v>94148</v>
      </c>
      <c r="F146" s="51">
        <v>43016</v>
      </c>
      <c r="G146" s="50">
        <v>2</v>
      </c>
      <c r="H146" s="50"/>
      <c r="I146" s="52" t="s">
        <v>278</v>
      </c>
      <c r="J146" s="50"/>
      <c r="K146" s="50"/>
    </row>
    <row r="147" spans="1:11" x14ac:dyDescent="0.35">
      <c r="A147" s="61" t="s">
        <v>154</v>
      </c>
      <c r="B147" s="50" t="s">
        <v>163</v>
      </c>
      <c r="C147" s="50" t="s">
        <v>168</v>
      </c>
      <c r="D147" s="50" t="s">
        <v>176</v>
      </c>
      <c r="E147" s="50">
        <v>35627</v>
      </c>
      <c r="F147" s="51">
        <v>43023</v>
      </c>
      <c r="G147" s="50">
        <v>5</v>
      </c>
      <c r="H147" s="50" t="s">
        <v>181</v>
      </c>
      <c r="I147" s="52" t="s">
        <v>275</v>
      </c>
      <c r="J147" s="50"/>
      <c r="K147" s="50"/>
    </row>
    <row r="148" spans="1:11" x14ac:dyDescent="0.35">
      <c r="A148" s="61" t="s">
        <v>155</v>
      </c>
      <c r="B148" s="50" t="s">
        <v>161</v>
      </c>
      <c r="C148" s="50" t="s">
        <v>170</v>
      </c>
      <c r="D148" s="50" t="s">
        <v>173</v>
      </c>
      <c r="E148" s="50">
        <v>57141</v>
      </c>
      <c r="F148" s="51">
        <v>43030</v>
      </c>
      <c r="G148" s="50">
        <v>2</v>
      </c>
      <c r="H148" s="50"/>
      <c r="I148" s="52" t="s">
        <v>276</v>
      </c>
      <c r="J148" s="50"/>
      <c r="K148" s="50"/>
    </row>
    <row r="149" spans="1:11" x14ac:dyDescent="0.35">
      <c r="A149" s="61" t="s">
        <v>156</v>
      </c>
      <c r="B149" s="50" t="s">
        <v>165</v>
      </c>
      <c r="C149" s="50" t="s">
        <v>168</v>
      </c>
      <c r="D149" s="50" t="s">
        <v>176</v>
      </c>
      <c r="E149" s="50">
        <v>65270</v>
      </c>
      <c r="F149" s="51">
        <v>43037</v>
      </c>
      <c r="G149" s="50">
        <v>1</v>
      </c>
      <c r="H149" s="50"/>
      <c r="I149" s="52" t="s">
        <v>279</v>
      </c>
      <c r="J149" s="50"/>
      <c r="K149" s="50"/>
    </row>
    <row r="150" spans="1:11" x14ac:dyDescent="0.35">
      <c r="A150" s="61" t="s">
        <v>157</v>
      </c>
      <c r="B150" s="50" t="s">
        <v>165</v>
      </c>
      <c r="C150" s="50"/>
      <c r="D150" s="50" t="s">
        <v>175</v>
      </c>
      <c r="E150" s="50">
        <v>67335</v>
      </c>
      <c r="F150" s="51">
        <v>43044</v>
      </c>
      <c r="G150" s="50">
        <v>1</v>
      </c>
      <c r="H150" s="50" t="s">
        <v>179</v>
      </c>
      <c r="I150" s="52" t="s">
        <v>233</v>
      </c>
      <c r="J150" s="50"/>
      <c r="K150" s="50"/>
    </row>
    <row r="151" spans="1:11" x14ac:dyDescent="0.35">
      <c r="A151" s="62" t="s">
        <v>158</v>
      </c>
      <c r="B151" s="53" t="s">
        <v>163</v>
      </c>
      <c r="C151" s="53" t="s">
        <v>170</v>
      </c>
      <c r="D151" s="53" t="s">
        <v>174</v>
      </c>
      <c r="E151" s="53">
        <v>98475</v>
      </c>
      <c r="F151" s="54">
        <v>43051</v>
      </c>
      <c r="G151" s="53">
        <v>5</v>
      </c>
      <c r="H151" s="53" t="s">
        <v>179</v>
      </c>
      <c r="I151" s="55" t="s">
        <v>280</v>
      </c>
      <c r="J151" s="50"/>
      <c r="K151" s="5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I1" zoomScaleNormal="100" workbookViewId="0">
      <selection activeCell="N5" sqref="N5"/>
    </sheetView>
  </sheetViews>
  <sheetFormatPr defaultRowHeight="14.5" outlineLevelCol="1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36328125" style="16" bestFit="1" customWidth="1"/>
    <col min="6" max="6" width="19.54296875" customWidth="1"/>
    <col min="7" max="7" width="7.1796875" customWidth="1"/>
    <col min="8" max="8" width="8.81640625" customWidth="1" outlineLevel="1"/>
    <col min="9" max="9" width="20.6328125" bestFit="1" customWidth="1"/>
    <col min="10" max="10" width="14.90625" bestFit="1" customWidth="1"/>
    <col min="11" max="11" width="14.36328125" bestFit="1" customWidth="1"/>
    <col min="12" max="12" width="10.81640625" bestFit="1" customWidth="1"/>
    <col min="13" max="13" width="16.26953125" bestFit="1" customWidth="1"/>
    <col min="14" max="14" width="23.1796875" style="16" bestFit="1" customWidth="1"/>
    <col min="15" max="15" width="19.54296875" style="16" bestFit="1" customWidth="1"/>
  </cols>
  <sheetData>
    <row r="1" spans="1:15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64" t="s">
        <v>4</v>
      </c>
      <c r="F1" s="58" t="s">
        <v>341</v>
      </c>
      <c r="G1" s="58" t="s">
        <v>6</v>
      </c>
      <c r="H1" s="58" t="s">
        <v>7</v>
      </c>
      <c r="I1" s="59" t="s">
        <v>8</v>
      </c>
      <c r="J1" s="66" t="s">
        <v>340</v>
      </c>
      <c r="K1" s="66" t="s">
        <v>343</v>
      </c>
      <c r="L1" s="66" t="s">
        <v>344</v>
      </c>
      <c r="M1" s="66" t="s">
        <v>342</v>
      </c>
      <c r="N1" s="67" t="s">
        <v>345</v>
      </c>
      <c r="O1" s="67" t="s">
        <v>346</v>
      </c>
    </row>
    <row r="2" spans="1:15" x14ac:dyDescent="0.35">
      <c r="A2" s="61" t="s">
        <v>9</v>
      </c>
      <c r="B2" s="50"/>
      <c r="C2" s="50" t="s">
        <v>166</v>
      </c>
      <c r="D2" s="50" t="s">
        <v>171</v>
      </c>
      <c r="E2" s="65" t="s">
        <v>177</v>
      </c>
      <c r="F2" s="50"/>
      <c r="G2" s="50">
        <v>2</v>
      </c>
      <c r="H2" s="50" t="s">
        <v>178</v>
      </c>
      <c r="I2" s="52" t="s">
        <v>178</v>
      </c>
      <c r="J2" s="50" t="str">
        <f t="shared" ref="J2:J33" si="0">IF(ISBLANK(B2),"UNKNOWN",B2)</f>
        <v>UNKNOWN</v>
      </c>
      <c r="K2" s="50" t="str">
        <f>IF(ISBLANK(C2),"Unknown",C2)</f>
        <v>Finance</v>
      </c>
      <c r="L2" s="50" t="s">
        <v>178</v>
      </c>
      <c r="M2" s="50" t="str">
        <f>PROPER(H2)</f>
        <v>Unknown</v>
      </c>
      <c r="N2" s="68">
        <f>IF(E2="N/A",AVERAGEIF(Table79[Department],Table79[[#This Row],[Department]],Table79[Salary]),E2)</f>
        <v>66008.307692307688</v>
      </c>
      <c r="O2" s="68">
        <f>IF(E2="N/A",AVERAGEIF(Table79[Country2],Table79[[#This Row],[Country2]],Table79[Salary]),E2)</f>
        <v>69175.76470588235</v>
      </c>
    </row>
    <row r="3" spans="1:15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65">
        <v>54255</v>
      </c>
      <c r="F3" s="51">
        <v>42015</v>
      </c>
      <c r="G3" s="50">
        <v>1</v>
      </c>
      <c r="H3" s="50" t="s">
        <v>302</v>
      </c>
      <c r="I3" s="52" t="s">
        <v>183</v>
      </c>
      <c r="J3" s="50" t="str">
        <f t="shared" si="0"/>
        <v>Eve Adams</v>
      </c>
      <c r="K3" s="50" t="str">
        <f t="shared" ref="K3:K33" si="1">IF(ISBLANK(C3),"Unknown",C3)</f>
        <v>HR</v>
      </c>
      <c r="L3" s="50" t="str">
        <f t="shared" ref="L3:L33" si="2">IF(ISBLANK(D3),"unknown",D3)</f>
        <v>Germany</v>
      </c>
      <c r="M3" s="50" t="str">
        <f t="shared" ref="M3:M33" si="3">PROPER(H3)</f>
        <v>Male</v>
      </c>
      <c r="N3" s="65">
        <f>IF(E3="N/A",AVERAGEIF(Table79[Department],Table79[[#This Row],[Department]],Table79[Salary]),E3)</f>
        <v>54255</v>
      </c>
      <c r="O3" s="65">
        <f>IF(E3="N/A",AVERAGEIF(Table79[Country2],Table79[[#This Row],[Country2]],Table79[Salary]),E3)</f>
        <v>54255</v>
      </c>
    </row>
    <row r="4" spans="1:15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65">
        <v>63184</v>
      </c>
      <c r="F4" s="51">
        <v>42022</v>
      </c>
      <c r="G4" s="50">
        <v>2</v>
      </c>
      <c r="H4" s="50" t="s">
        <v>180</v>
      </c>
      <c r="I4" s="52" t="s">
        <v>184</v>
      </c>
      <c r="J4" s="50" t="str">
        <f t="shared" si="0"/>
        <v>Alice Brown</v>
      </c>
      <c r="K4" s="50" t="str">
        <f t="shared" si="1"/>
        <v>Finance</v>
      </c>
      <c r="L4" s="50" t="str">
        <f t="shared" si="2"/>
        <v>Germany</v>
      </c>
      <c r="M4" s="50" t="str">
        <f t="shared" si="3"/>
        <v>Male</v>
      </c>
      <c r="N4" s="65">
        <f>IF(E4="N/A",AVERAGEIF(Table79[Department],Table79[[#This Row],[Department]],Table79[Salary]),E4)</f>
        <v>63184</v>
      </c>
      <c r="O4" s="65">
        <f>IF(E4="N/A",AVERAGEIF(Table79[Country2],Table79[[#This Row],[Country2]],Table79[Salary]),E4)</f>
        <v>63184</v>
      </c>
    </row>
    <row r="5" spans="1:15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65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 t="str">
        <f t="shared" si="0"/>
        <v>John Doe</v>
      </c>
      <c r="K5" s="50" t="str">
        <f t="shared" si="1"/>
        <v>Sales</v>
      </c>
      <c r="L5" s="50" t="str">
        <f t="shared" si="2"/>
        <v>USA</v>
      </c>
      <c r="M5" s="50" t="str">
        <f t="shared" si="3"/>
        <v>Male</v>
      </c>
      <c r="N5" s="65">
        <f>IF(E5="N/A",AVERAGEIF(Table79[Department],Table79[[#This Row],[Department]],Table79[Salary]),E5)</f>
        <v>94406</v>
      </c>
      <c r="O5" s="65">
        <f>IF(E5="N/A",AVERAGEIF(Table79[Country2],Table79[[#This Row],[Country2]],Table79[Salary]),E5)</f>
        <v>94406</v>
      </c>
    </row>
    <row r="6" spans="1:15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65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 t="str">
        <f t="shared" si="0"/>
        <v>Jane Smith</v>
      </c>
      <c r="K6" s="50" t="str">
        <f t="shared" si="1"/>
        <v>Sales</v>
      </c>
      <c r="L6" s="50" t="str">
        <f t="shared" si="2"/>
        <v>Germany</v>
      </c>
      <c r="M6" s="50" t="str">
        <f t="shared" si="3"/>
        <v>Male</v>
      </c>
      <c r="N6" s="65">
        <f>IF(E6="N/A",AVERAGEIF(Table79[Department],Table79[[#This Row],[Department]],Table79[Salary]),E6)</f>
        <v>64120</v>
      </c>
      <c r="O6" s="65">
        <f>IF(E6="N/A",AVERAGEIF(Table79[Country2],Table79[[#This Row],[Country2]],Table79[Salary]),E6)</f>
        <v>64120</v>
      </c>
    </row>
    <row r="7" spans="1:15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65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 t="str">
        <f t="shared" si="0"/>
        <v>Alice Brown</v>
      </c>
      <c r="K7" s="50" t="str">
        <f t="shared" si="1"/>
        <v>IT</v>
      </c>
      <c r="L7" s="50" t="str">
        <f t="shared" si="2"/>
        <v>India</v>
      </c>
      <c r="M7" s="50" t="str">
        <f t="shared" si="3"/>
        <v>Female</v>
      </c>
      <c r="N7" s="65">
        <f>IF(E7="N/A",AVERAGEIF(Table79[Department],Table79[[#This Row],[Department]],Table79[Salary]),E7)</f>
        <v>78421</v>
      </c>
      <c r="O7" s="65">
        <f>IF(E7="N/A",AVERAGEIF(Table79[Country2],Table79[[#This Row],[Country2]],Table79[Salary]),E7)</f>
        <v>78421</v>
      </c>
    </row>
    <row r="8" spans="1:15" x14ac:dyDescent="0.35">
      <c r="A8" s="61" t="s">
        <v>16</v>
      </c>
      <c r="B8" s="50" t="s">
        <v>164</v>
      </c>
      <c r="C8" s="50" t="s">
        <v>170</v>
      </c>
      <c r="D8" s="50"/>
      <c r="E8" s="65">
        <v>35364</v>
      </c>
      <c r="F8" s="51">
        <v>42057</v>
      </c>
      <c r="G8" s="50">
        <v>2</v>
      </c>
      <c r="H8" s="50" t="s">
        <v>302</v>
      </c>
      <c r="I8" s="52" t="s">
        <v>188</v>
      </c>
      <c r="J8" s="50" t="str">
        <f t="shared" si="0"/>
        <v>Chris Lee</v>
      </c>
      <c r="K8" s="50" t="str">
        <f t="shared" si="1"/>
        <v>Marketing</v>
      </c>
      <c r="L8" s="50" t="str">
        <f t="shared" si="2"/>
        <v>unknown</v>
      </c>
      <c r="M8" s="50" t="str">
        <f t="shared" si="3"/>
        <v>Male</v>
      </c>
      <c r="N8" s="65">
        <f>IF(E8="N/A",AVERAGEIF(Table79[Department],Table79[[#This Row],[Department]],Table79[Salary]),E8)</f>
        <v>35364</v>
      </c>
      <c r="O8" s="65">
        <f>IF(E8="N/A",AVERAGEIF(Table79[Country2],Table79[[#This Row],[Country2]],Table79[Salary]),E8)</f>
        <v>35364</v>
      </c>
    </row>
    <row r="9" spans="1:15" x14ac:dyDescent="0.35">
      <c r="A9" s="61" t="s">
        <v>17</v>
      </c>
      <c r="B9" s="50" t="s">
        <v>160</v>
      </c>
      <c r="C9" s="50" t="s">
        <v>169</v>
      </c>
      <c r="D9" s="50" t="s">
        <v>172</v>
      </c>
      <c r="E9" s="65">
        <v>97881</v>
      </c>
      <c r="F9" s="51">
        <v>42064</v>
      </c>
      <c r="G9" s="50"/>
      <c r="H9" s="50" t="s">
        <v>181</v>
      </c>
      <c r="I9" s="52" t="s">
        <v>189</v>
      </c>
      <c r="J9" s="50" t="str">
        <f t="shared" si="0"/>
        <v>Alice Brown</v>
      </c>
      <c r="K9" s="50" t="str">
        <f t="shared" si="1"/>
        <v>IT</v>
      </c>
      <c r="L9" s="50" t="str">
        <f t="shared" si="2"/>
        <v>Germany</v>
      </c>
      <c r="M9" s="50" t="str">
        <f t="shared" si="3"/>
        <v>Female</v>
      </c>
      <c r="N9" s="65">
        <f>IF(E9="N/A",AVERAGEIF(Table79[Department],Table79[[#This Row],[Department]],Table79[Salary]),E9)</f>
        <v>97881</v>
      </c>
      <c r="O9" s="65">
        <f>IF(E9="N/A",AVERAGEIF(Table79[Country2],Table79[[#This Row],[Country2]],Table79[Salary]),E9)</f>
        <v>97881</v>
      </c>
    </row>
    <row r="10" spans="1:15" x14ac:dyDescent="0.35">
      <c r="A10" s="61" t="s">
        <v>18</v>
      </c>
      <c r="B10" s="50" t="s">
        <v>164</v>
      </c>
      <c r="C10" s="50" t="s">
        <v>167</v>
      </c>
      <c r="D10" s="50" t="s">
        <v>175</v>
      </c>
      <c r="E10" s="65">
        <v>91846</v>
      </c>
      <c r="F10" s="51">
        <v>42071</v>
      </c>
      <c r="G10" s="50"/>
      <c r="H10" s="50" t="s">
        <v>180</v>
      </c>
      <c r="I10" s="52" t="s">
        <v>190</v>
      </c>
      <c r="J10" s="50" t="str">
        <f t="shared" si="0"/>
        <v>Chris Lee</v>
      </c>
      <c r="K10" s="50" t="str">
        <f t="shared" si="1"/>
        <v>HR</v>
      </c>
      <c r="L10" s="50" t="str">
        <f t="shared" si="2"/>
        <v>UK</v>
      </c>
      <c r="M10" s="50" t="str">
        <f t="shared" si="3"/>
        <v>Male</v>
      </c>
      <c r="N10" s="65">
        <f>IF(E10="N/A",AVERAGEIF(Table79[Department],Table79[[#This Row],[Department]],Table79[Salary]),E10)</f>
        <v>91846</v>
      </c>
      <c r="O10" s="65">
        <f>IF(E10="N/A",AVERAGEIF(Table79[Country2],Table79[[#This Row],[Country2]],Table79[Salary]),E10)</f>
        <v>91846</v>
      </c>
    </row>
    <row r="11" spans="1:15" x14ac:dyDescent="0.35">
      <c r="A11" s="61" t="s">
        <v>19</v>
      </c>
      <c r="B11" s="50" t="s">
        <v>163</v>
      </c>
      <c r="C11" s="50" t="s">
        <v>166</v>
      </c>
      <c r="D11" s="50" t="s">
        <v>175</v>
      </c>
      <c r="E11" s="65">
        <v>64247</v>
      </c>
      <c r="F11" s="51">
        <v>42078</v>
      </c>
      <c r="G11" s="50">
        <v>1</v>
      </c>
      <c r="H11" s="50" t="s">
        <v>181</v>
      </c>
      <c r="I11" s="52" t="s">
        <v>191</v>
      </c>
      <c r="J11" s="50" t="str">
        <f t="shared" si="0"/>
        <v>Sam Wilson</v>
      </c>
      <c r="K11" s="50" t="str">
        <f t="shared" si="1"/>
        <v>Finance</v>
      </c>
      <c r="L11" s="50" t="str">
        <f t="shared" si="2"/>
        <v>UK</v>
      </c>
      <c r="M11" s="50" t="str">
        <f t="shared" si="3"/>
        <v>Female</v>
      </c>
      <c r="N11" s="65">
        <f>IF(E11="N/A",AVERAGEIF(Table79[Department],Table79[[#This Row],[Department]],Table79[Salary]),E11)</f>
        <v>64247</v>
      </c>
      <c r="O11" s="65">
        <f>IF(E11="N/A",AVERAGEIF(Table79[Country2],Table79[[#This Row],[Country2]],Table79[Salary]),E11)</f>
        <v>64247</v>
      </c>
    </row>
    <row r="12" spans="1:15" x14ac:dyDescent="0.35">
      <c r="A12" s="61" t="s">
        <v>20</v>
      </c>
      <c r="B12" s="50" t="s">
        <v>163</v>
      </c>
      <c r="C12" s="50" t="s">
        <v>169</v>
      </c>
      <c r="D12" s="50" t="s">
        <v>173</v>
      </c>
      <c r="E12" s="65">
        <v>91180</v>
      </c>
      <c r="F12" s="51">
        <v>42085</v>
      </c>
      <c r="G12" s="50">
        <v>5</v>
      </c>
      <c r="H12" s="50" t="s">
        <v>180</v>
      </c>
      <c r="I12" s="52" t="s">
        <v>192</v>
      </c>
      <c r="J12" s="50" t="str">
        <f t="shared" si="0"/>
        <v>Sam Wilson</v>
      </c>
      <c r="K12" s="50" t="str">
        <f t="shared" si="1"/>
        <v>IT</v>
      </c>
      <c r="L12" s="50" t="str">
        <f t="shared" si="2"/>
        <v>USA</v>
      </c>
      <c r="M12" s="50" t="str">
        <f t="shared" si="3"/>
        <v>Male</v>
      </c>
      <c r="N12" s="65">
        <f>IF(E12="N/A",AVERAGEIF(Table79[Department],Table79[[#This Row],[Department]],Table79[Salary]),E12)</f>
        <v>91180</v>
      </c>
      <c r="O12" s="65">
        <f>IF(E12="N/A",AVERAGEIF(Table79[Country2],Table79[[#This Row],[Country2]],Table79[Salary]),E12)</f>
        <v>91180</v>
      </c>
    </row>
    <row r="13" spans="1:15" x14ac:dyDescent="0.35">
      <c r="A13" s="61" t="s">
        <v>22</v>
      </c>
      <c r="B13" s="50" t="s">
        <v>163</v>
      </c>
      <c r="C13" s="50"/>
      <c r="D13" s="50" t="s">
        <v>174</v>
      </c>
      <c r="E13" s="65">
        <v>62158</v>
      </c>
      <c r="F13" s="51">
        <v>42099</v>
      </c>
      <c r="G13" s="50">
        <v>4</v>
      </c>
      <c r="H13" s="50" t="s">
        <v>180</v>
      </c>
      <c r="I13" s="52" t="s">
        <v>193</v>
      </c>
      <c r="J13" s="50" t="str">
        <f t="shared" si="0"/>
        <v>Sam Wilson</v>
      </c>
      <c r="K13" s="50" t="str">
        <f t="shared" si="1"/>
        <v>Unknown</v>
      </c>
      <c r="L13" s="50" t="str">
        <f t="shared" si="2"/>
        <v>India</v>
      </c>
      <c r="M13" s="50" t="str">
        <f t="shared" si="3"/>
        <v>Male</v>
      </c>
      <c r="N13" s="65">
        <f>IF(E13="N/A",AVERAGEIF(Table79[Department],Table79[[#This Row],[Department]],Table79[Salary]),E13)</f>
        <v>62158</v>
      </c>
      <c r="O13" s="65">
        <f>IF(E13="N/A",AVERAGEIF(Table79[Country2],Table79[[#This Row],[Country2]],Table79[Salary]),E13)</f>
        <v>62158</v>
      </c>
    </row>
    <row r="14" spans="1:15" x14ac:dyDescent="0.35">
      <c r="A14" s="61" t="s">
        <v>23</v>
      </c>
      <c r="B14" s="50" t="s">
        <v>162</v>
      </c>
      <c r="C14" s="50" t="s">
        <v>167</v>
      </c>
      <c r="D14" s="50"/>
      <c r="E14" s="65">
        <v>59894</v>
      </c>
      <c r="F14" s="51">
        <v>42106</v>
      </c>
      <c r="G14" s="50">
        <v>2</v>
      </c>
      <c r="H14" s="50" t="s">
        <v>180</v>
      </c>
      <c r="I14" s="52" t="s">
        <v>194</v>
      </c>
      <c r="J14" s="50" t="str">
        <f t="shared" si="0"/>
        <v>Jane Smith</v>
      </c>
      <c r="K14" s="50" t="str">
        <f t="shared" si="1"/>
        <v>HR</v>
      </c>
      <c r="L14" s="50" t="str">
        <f t="shared" si="2"/>
        <v>unknown</v>
      </c>
      <c r="M14" s="50" t="str">
        <f t="shared" si="3"/>
        <v>Male</v>
      </c>
      <c r="N14" s="65">
        <f>IF(E14="N/A",AVERAGEIF(Table79[Department],Table79[[#This Row],[Department]],Table79[Salary]),E14)</f>
        <v>59894</v>
      </c>
      <c r="O14" s="65">
        <f>IF(E14="N/A",AVERAGEIF(Table79[Country2],Table79[[#This Row],[Country2]],Table79[Salary]),E14)</f>
        <v>59894</v>
      </c>
    </row>
    <row r="15" spans="1:15" x14ac:dyDescent="0.35">
      <c r="A15" s="61" t="s">
        <v>24</v>
      </c>
      <c r="B15" s="50"/>
      <c r="C15" s="50" t="s">
        <v>169</v>
      </c>
      <c r="D15" s="50" t="s">
        <v>174</v>
      </c>
      <c r="E15" s="65">
        <v>92443</v>
      </c>
      <c r="F15" s="51">
        <v>42113</v>
      </c>
      <c r="G15" s="50">
        <v>3</v>
      </c>
      <c r="H15" s="50" t="s">
        <v>302</v>
      </c>
      <c r="I15" s="52" t="s">
        <v>195</v>
      </c>
      <c r="J15" s="50" t="str">
        <f t="shared" si="0"/>
        <v>UNKNOWN</v>
      </c>
      <c r="K15" s="50" t="str">
        <f t="shared" si="1"/>
        <v>IT</v>
      </c>
      <c r="L15" s="50" t="str">
        <f t="shared" si="2"/>
        <v>India</v>
      </c>
      <c r="M15" s="50" t="str">
        <f t="shared" si="3"/>
        <v>Male</v>
      </c>
      <c r="N15" s="65">
        <f>IF(E15="N/A",AVERAGEIF(Table79[Department],Table79[[#This Row],[Department]],Table79[Salary]),E15)</f>
        <v>92443</v>
      </c>
      <c r="O15" s="65">
        <f>IF(E15="N/A",AVERAGEIF(Table79[Country2],Table79[[#This Row],[Country2]],Table79[Salary]),E15)</f>
        <v>92443</v>
      </c>
    </row>
    <row r="16" spans="1:15" x14ac:dyDescent="0.35">
      <c r="A16" s="61" t="s">
        <v>25</v>
      </c>
      <c r="B16" s="50" t="s">
        <v>165</v>
      </c>
      <c r="C16" s="50"/>
      <c r="D16" s="50" t="s">
        <v>172</v>
      </c>
      <c r="E16" s="65">
        <v>90271</v>
      </c>
      <c r="F16" s="51">
        <v>42120</v>
      </c>
      <c r="G16" s="50"/>
      <c r="H16" s="50" t="s">
        <v>180</v>
      </c>
      <c r="I16" s="52" t="s">
        <v>196</v>
      </c>
      <c r="J16" s="50" t="str">
        <f t="shared" si="0"/>
        <v>Bob Johnson</v>
      </c>
      <c r="K16" s="50" t="str">
        <f t="shared" si="1"/>
        <v>Unknown</v>
      </c>
      <c r="L16" s="50" t="str">
        <f t="shared" si="2"/>
        <v>Germany</v>
      </c>
      <c r="M16" s="50" t="str">
        <f t="shared" si="3"/>
        <v>Male</v>
      </c>
      <c r="N16" s="65">
        <f>IF(E16="N/A",AVERAGEIF(Table79[Department],Table79[[#This Row],[Department]],Table79[Salary]),E16)</f>
        <v>90271</v>
      </c>
      <c r="O16" s="65">
        <f>IF(E16="N/A",AVERAGEIF(Table79[Country2],Table79[[#This Row],[Country2]],Table79[Salary]),E16)</f>
        <v>90271</v>
      </c>
    </row>
    <row r="17" spans="1:15" x14ac:dyDescent="0.35">
      <c r="A17" s="61" t="s">
        <v>26</v>
      </c>
      <c r="B17" s="50" t="s">
        <v>162</v>
      </c>
      <c r="C17" s="50" t="s">
        <v>166</v>
      </c>
      <c r="D17" s="50" t="s">
        <v>176</v>
      </c>
      <c r="E17" s="65">
        <v>41341</v>
      </c>
      <c r="F17" s="51">
        <v>42127</v>
      </c>
      <c r="G17" s="50">
        <v>1</v>
      </c>
      <c r="H17" s="50" t="s">
        <v>302</v>
      </c>
      <c r="I17" s="52" t="s">
        <v>197</v>
      </c>
      <c r="J17" s="50" t="str">
        <f t="shared" si="0"/>
        <v>Jane Smith</v>
      </c>
      <c r="K17" s="50" t="str">
        <f t="shared" si="1"/>
        <v>Finance</v>
      </c>
      <c r="L17" s="50" t="str">
        <f t="shared" si="2"/>
        <v>Australia</v>
      </c>
      <c r="M17" s="50" t="str">
        <f t="shared" si="3"/>
        <v>Male</v>
      </c>
      <c r="N17" s="65">
        <f>IF(E17="N/A",AVERAGEIF(Table79[Department],Table79[[#This Row],[Department]],Table79[Salary]),E17)</f>
        <v>41341</v>
      </c>
      <c r="O17" s="65">
        <f>IF(E17="N/A",AVERAGEIF(Table79[Country2],Table79[[#This Row],[Country2]],Table79[Salary]),E17)</f>
        <v>41341</v>
      </c>
    </row>
    <row r="18" spans="1:15" x14ac:dyDescent="0.35">
      <c r="A18" s="61" t="s">
        <v>27</v>
      </c>
      <c r="B18" s="50" t="s">
        <v>160</v>
      </c>
      <c r="C18" s="50" t="s">
        <v>166</v>
      </c>
      <c r="D18" s="50" t="s">
        <v>175</v>
      </c>
      <c r="E18" s="65">
        <v>73602</v>
      </c>
      <c r="F18" s="51">
        <v>42134</v>
      </c>
      <c r="G18" s="50"/>
      <c r="H18" s="50" t="s">
        <v>180</v>
      </c>
      <c r="I18" s="52" t="s">
        <v>198</v>
      </c>
      <c r="J18" s="50" t="str">
        <f t="shared" si="0"/>
        <v>Alice Brown</v>
      </c>
      <c r="K18" s="50" t="str">
        <f t="shared" si="1"/>
        <v>Finance</v>
      </c>
      <c r="L18" s="50" t="str">
        <f t="shared" si="2"/>
        <v>UK</v>
      </c>
      <c r="M18" s="50" t="str">
        <f t="shared" si="3"/>
        <v>Male</v>
      </c>
      <c r="N18" s="65">
        <f>IF(E18="N/A",AVERAGEIF(Table79[Department],Table79[[#This Row],[Department]],Table79[Salary]),E18)</f>
        <v>73602</v>
      </c>
      <c r="O18" s="65">
        <f>IF(E18="N/A",AVERAGEIF(Table79[Country2],Table79[[#This Row],[Country2]],Table79[Salary]),E18)</f>
        <v>73602</v>
      </c>
    </row>
    <row r="19" spans="1:15" x14ac:dyDescent="0.35">
      <c r="A19" s="61" t="s">
        <v>28</v>
      </c>
      <c r="B19" s="50" t="s">
        <v>159</v>
      </c>
      <c r="C19" s="50"/>
      <c r="D19" s="50" t="s">
        <v>174</v>
      </c>
      <c r="E19" s="65">
        <v>67531</v>
      </c>
      <c r="F19" s="51">
        <v>42141</v>
      </c>
      <c r="G19" s="50">
        <v>5</v>
      </c>
      <c r="H19" s="50" t="s">
        <v>181</v>
      </c>
      <c r="I19" s="52" t="s">
        <v>199</v>
      </c>
      <c r="J19" s="50" t="str">
        <f t="shared" si="0"/>
        <v>Eve Adams</v>
      </c>
      <c r="K19" s="50" t="str">
        <f t="shared" si="1"/>
        <v>Unknown</v>
      </c>
      <c r="L19" s="50" t="str">
        <f t="shared" si="2"/>
        <v>India</v>
      </c>
      <c r="M19" s="50" t="str">
        <f t="shared" si="3"/>
        <v>Female</v>
      </c>
      <c r="N19" s="65">
        <f>IF(E19="N/A",AVERAGEIF(Table79[Department],Table79[[#This Row],[Department]],Table79[Salary]),E19)</f>
        <v>67531</v>
      </c>
      <c r="O19" s="65">
        <f>IF(E19="N/A",AVERAGEIF(Table79[Country2],Table79[[#This Row],[Country2]],Table79[Salary]),E19)</f>
        <v>67531</v>
      </c>
    </row>
    <row r="20" spans="1:15" x14ac:dyDescent="0.35">
      <c r="A20" s="61" t="s">
        <v>29</v>
      </c>
      <c r="B20" s="50" t="s">
        <v>162</v>
      </c>
      <c r="C20" s="50" t="s">
        <v>167</v>
      </c>
      <c r="D20" s="50" t="s">
        <v>173</v>
      </c>
      <c r="E20" s="65" t="s">
        <v>177</v>
      </c>
      <c r="F20" s="51">
        <v>42148</v>
      </c>
      <c r="G20" s="50">
        <v>2</v>
      </c>
      <c r="H20" s="50" t="s">
        <v>302</v>
      </c>
      <c r="I20" s="52" t="s">
        <v>200</v>
      </c>
      <c r="J20" s="50" t="str">
        <f t="shared" si="0"/>
        <v>Jane Smith</v>
      </c>
      <c r="K20" s="50" t="str">
        <f t="shared" si="1"/>
        <v>HR</v>
      </c>
      <c r="L20" s="50" t="str">
        <f t="shared" si="2"/>
        <v>USA</v>
      </c>
      <c r="M20" s="50" t="str">
        <f t="shared" si="3"/>
        <v>Male</v>
      </c>
      <c r="N20" s="65">
        <f>IF(E20="N/A",AVERAGEIF(Table79[Department],Table79[[#This Row],[Department]],Table79[Salary]),E20)</f>
        <v>66982.875</v>
      </c>
      <c r="O20" s="65">
        <f>IF(E20="N/A",AVERAGEIF(Table79[Country2],Table79[[#This Row],[Country2]],Table79[Salary]),E20)</f>
        <v>69408.5625</v>
      </c>
    </row>
    <row r="21" spans="1:15" x14ac:dyDescent="0.35">
      <c r="A21" s="61" t="s">
        <v>30</v>
      </c>
      <c r="B21" s="50" t="s">
        <v>162</v>
      </c>
      <c r="C21" s="50" t="s">
        <v>167</v>
      </c>
      <c r="D21" s="50"/>
      <c r="E21" s="65">
        <v>98922</v>
      </c>
      <c r="F21" s="51">
        <v>42155</v>
      </c>
      <c r="G21" s="50">
        <v>4</v>
      </c>
      <c r="H21" s="50" t="s">
        <v>180</v>
      </c>
      <c r="I21" s="52" t="s">
        <v>201</v>
      </c>
      <c r="J21" s="50" t="str">
        <f t="shared" si="0"/>
        <v>Jane Smith</v>
      </c>
      <c r="K21" s="50" t="str">
        <f t="shared" si="1"/>
        <v>HR</v>
      </c>
      <c r="L21" s="50" t="str">
        <f t="shared" si="2"/>
        <v>unknown</v>
      </c>
      <c r="M21" s="50" t="str">
        <f t="shared" si="3"/>
        <v>Male</v>
      </c>
      <c r="N21" s="65">
        <f>IF(E21="N/A",AVERAGEIF(Table79[Department],Table79[[#This Row],[Department]],Table79[Salary]),E21)</f>
        <v>98922</v>
      </c>
      <c r="O21" s="65">
        <f>IF(E21="N/A",AVERAGEIF(Table79[Country2],Table79[[#This Row],[Country2]],Table79[Salary]),E21)</f>
        <v>98922</v>
      </c>
    </row>
    <row r="22" spans="1:15" x14ac:dyDescent="0.35">
      <c r="A22" s="61" t="s">
        <v>31</v>
      </c>
      <c r="B22" s="50" t="s">
        <v>159</v>
      </c>
      <c r="C22" s="50" t="s">
        <v>166</v>
      </c>
      <c r="D22" s="50" t="s">
        <v>174</v>
      </c>
      <c r="E22" s="65">
        <v>38333</v>
      </c>
      <c r="F22" s="51">
        <v>42162</v>
      </c>
      <c r="G22" s="50">
        <v>5</v>
      </c>
      <c r="H22" s="50" t="s">
        <v>180</v>
      </c>
      <c r="I22" s="52" t="s">
        <v>202</v>
      </c>
      <c r="J22" s="50" t="str">
        <f t="shared" si="0"/>
        <v>Eve Adams</v>
      </c>
      <c r="K22" s="50" t="str">
        <f t="shared" si="1"/>
        <v>Finance</v>
      </c>
      <c r="L22" s="50" t="str">
        <f t="shared" si="2"/>
        <v>India</v>
      </c>
      <c r="M22" s="50" t="str">
        <f t="shared" si="3"/>
        <v>Male</v>
      </c>
      <c r="N22" s="65">
        <f>IF(E22="N/A",AVERAGEIF(Table79[Department],Table79[[#This Row],[Department]],Table79[Salary]),E22)</f>
        <v>38333</v>
      </c>
      <c r="O22" s="65">
        <f>IF(E22="N/A",AVERAGEIF(Table79[Country2],Table79[[#This Row],[Country2]],Table79[Salary]),E22)</f>
        <v>38333</v>
      </c>
    </row>
    <row r="23" spans="1:15" x14ac:dyDescent="0.35">
      <c r="A23" s="61" t="s">
        <v>32</v>
      </c>
      <c r="B23" s="50" t="s">
        <v>160</v>
      </c>
      <c r="C23" s="50" t="s">
        <v>170</v>
      </c>
      <c r="D23" s="50" t="s">
        <v>175</v>
      </c>
      <c r="E23" s="65">
        <v>36515</v>
      </c>
      <c r="F23" s="51">
        <v>42169</v>
      </c>
      <c r="G23" s="50">
        <v>3</v>
      </c>
      <c r="H23" s="50" t="s">
        <v>180</v>
      </c>
      <c r="I23" s="52" t="s">
        <v>203</v>
      </c>
      <c r="J23" s="50" t="str">
        <f t="shared" si="0"/>
        <v>Alice Brown</v>
      </c>
      <c r="K23" s="50" t="str">
        <f t="shared" si="1"/>
        <v>Marketing</v>
      </c>
      <c r="L23" s="50" t="str">
        <f t="shared" si="2"/>
        <v>UK</v>
      </c>
      <c r="M23" s="50" t="str">
        <f t="shared" si="3"/>
        <v>Male</v>
      </c>
      <c r="N23" s="65">
        <f>IF(E23="N/A",AVERAGEIF(Table79[Department],Table79[[#This Row],[Department]],Table79[Salary]),E23)</f>
        <v>36515</v>
      </c>
      <c r="O23" s="65">
        <f>IF(E23="N/A",AVERAGEIF(Table79[Country2],Table79[[#This Row],[Country2]],Table79[Salary]),E23)</f>
        <v>36515</v>
      </c>
    </row>
    <row r="24" spans="1:15" x14ac:dyDescent="0.35">
      <c r="A24" s="61" t="s">
        <v>33</v>
      </c>
      <c r="B24" s="50" t="s">
        <v>163</v>
      </c>
      <c r="C24" s="50" t="s">
        <v>166</v>
      </c>
      <c r="D24" s="50"/>
      <c r="E24" s="65">
        <v>91005</v>
      </c>
      <c r="F24" s="51">
        <v>42176</v>
      </c>
      <c r="G24" s="50">
        <v>1</v>
      </c>
      <c r="H24" s="50" t="s">
        <v>302</v>
      </c>
      <c r="I24" s="52" t="s">
        <v>204</v>
      </c>
      <c r="J24" s="50" t="str">
        <f t="shared" si="0"/>
        <v>Sam Wilson</v>
      </c>
      <c r="K24" s="50" t="str">
        <f t="shared" si="1"/>
        <v>Finance</v>
      </c>
      <c r="L24" s="50" t="str">
        <f t="shared" si="2"/>
        <v>unknown</v>
      </c>
      <c r="M24" s="50" t="str">
        <f t="shared" si="3"/>
        <v>Male</v>
      </c>
      <c r="N24" s="65">
        <f>IF(E24="N/A",AVERAGEIF(Table79[Department],Table79[[#This Row],[Department]],Table79[Salary]),E24)</f>
        <v>91005</v>
      </c>
      <c r="O24" s="65">
        <f>IF(E24="N/A",AVERAGEIF(Table79[Country2],Table79[[#This Row],[Country2]],Table79[Salary]),E24)</f>
        <v>91005</v>
      </c>
    </row>
    <row r="25" spans="1:15" x14ac:dyDescent="0.35">
      <c r="A25" s="61" t="s">
        <v>34</v>
      </c>
      <c r="B25" s="50" t="s">
        <v>164</v>
      </c>
      <c r="C25" s="50"/>
      <c r="D25" s="50" t="s">
        <v>171</v>
      </c>
      <c r="E25" s="65">
        <v>52272</v>
      </c>
      <c r="F25" s="51">
        <v>42183</v>
      </c>
      <c r="G25" s="50">
        <v>3</v>
      </c>
      <c r="H25" s="50" t="s">
        <v>180</v>
      </c>
      <c r="I25" s="52" t="s">
        <v>205</v>
      </c>
      <c r="J25" s="50" t="str">
        <f t="shared" si="0"/>
        <v>Chris Lee</v>
      </c>
      <c r="K25" s="50" t="str">
        <f t="shared" si="1"/>
        <v>Unknown</v>
      </c>
      <c r="L25" s="50" t="str">
        <f t="shared" si="2"/>
        <v xml:space="preserve"> </v>
      </c>
      <c r="M25" s="50" t="str">
        <f t="shared" si="3"/>
        <v>Male</v>
      </c>
      <c r="N25" s="65">
        <f>IF(E25="N/A",AVERAGEIF(Table79[Department],Table79[[#This Row],[Department]],Table79[Salary]),E25)</f>
        <v>52272</v>
      </c>
      <c r="O25" s="65">
        <f>IF(E25="N/A",AVERAGEIF(Table79[Country2],Table79[[#This Row],[Country2]],Table79[Salary]),E25)</f>
        <v>52272</v>
      </c>
    </row>
    <row r="26" spans="1:15" x14ac:dyDescent="0.35">
      <c r="A26" s="61" t="s">
        <v>35</v>
      </c>
      <c r="B26" s="50" t="s">
        <v>159</v>
      </c>
      <c r="C26" s="50" t="s">
        <v>168</v>
      </c>
      <c r="D26" s="50" t="s">
        <v>172</v>
      </c>
      <c r="E26" s="65">
        <v>76518</v>
      </c>
      <c r="F26" s="51">
        <v>42190</v>
      </c>
      <c r="G26" s="50">
        <v>2</v>
      </c>
      <c r="H26" s="50" t="s">
        <v>181</v>
      </c>
      <c r="I26" s="52" t="s">
        <v>206</v>
      </c>
      <c r="J26" s="50" t="str">
        <f t="shared" si="0"/>
        <v>Eve Adams</v>
      </c>
      <c r="K26" s="50" t="str">
        <f t="shared" si="1"/>
        <v>Sales</v>
      </c>
      <c r="L26" s="50" t="str">
        <f t="shared" si="2"/>
        <v>Germany</v>
      </c>
      <c r="M26" s="50" t="str">
        <f t="shared" si="3"/>
        <v>Female</v>
      </c>
      <c r="N26" s="65">
        <f>IF(E26="N/A",AVERAGEIF(Table79[Department],Table79[[#This Row],[Department]],Table79[Salary]),E26)</f>
        <v>76518</v>
      </c>
      <c r="O26" s="65">
        <f>IF(E26="N/A",AVERAGEIF(Table79[Country2],Table79[[#This Row],[Country2]],Table79[Salary]),E26)</f>
        <v>76518</v>
      </c>
    </row>
    <row r="27" spans="1:15" x14ac:dyDescent="0.35">
      <c r="A27" s="61" t="s">
        <v>36</v>
      </c>
      <c r="B27" s="50" t="s">
        <v>160</v>
      </c>
      <c r="C27" s="50" t="s">
        <v>169</v>
      </c>
      <c r="D27" s="50" t="s">
        <v>175</v>
      </c>
      <c r="E27" s="65">
        <v>41448</v>
      </c>
      <c r="F27" s="51">
        <v>42197</v>
      </c>
      <c r="G27" s="50">
        <v>3</v>
      </c>
      <c r="H27" s="50" t="s">
        <v>302</v>
      </c>
      <c r="I27" s="52" t="s">
        <v>207</v>
      </c>
      <c r="J27" s="50" t="str">
        <f t="shared" si="0"/>
        <v>Alice Brown</v>
      </c>
      <c r="K27" s="50" t="str">
        <f t="shared" si="1"/>
        <v>IT</v>
      </c>
      <c r="L27" s="50" t="str">
        <f t="shared" si="2"/>
        <v>UK</v>
      </c>
      <c r="M27" s="50" t="str">
        <f t="shared" si="3"/>
        <v>Male</v>
      </c>
      <c r="N27" s="65">
        <f>IF(E27="N/A",AVERAGEIF(Table79[Department],Table79[[#This Row],[Department]],Table79[Salary]),E27)</f>
        <v>41448</v>
      </c>
      <c r="O27" s="65">
        <f>IF(E27="N/A",AVERAGEIF(Table79[Country2],Table79[[#This Row],[Country2]],Table79[Salary]),E27)</f>
        <v>41448</v>
      </c>
    </row>
    <row r="28" spans="1:15" x14ac:dyDescent="0.35">
      <c r="A28" s="61" t="s">
        <v>37</v>
      </c>
      <c r="B28" s="50" t="s">
        <v>161</v>
      </c>
      <c r="C28" s="50" t="s">
        <v>167</v>
      </c>
      <c r="D28" s="50" t="s">
        <v>175</v>
      </c>
      <c r="E28" s="65">
        <v>49282</v>
      </c>
      <c r="F28" s="51">
        <v>42204</v>
      </c>
      <c r="G28" s="50">
        <v>2</v>
      </c>
      <c r="H28" s="50" t="s">
        <v>181</v>
      </c>
      <c r="I28" s="52" t="s">
        <v>208</v>
      </c>
      <c r="J28" s="50" t="str">
        <f t="shared" si="0"/>
        <v>John Doe</v>
      </c>
      <c r="K28" s="50" t="str">
        <f t="shared" si="1"/>
        <v>HR</v>
      </c>
      <c r="L28" s="50" t="str">
        <f t="shared" si="2"/>
        <v>UK</v>
      </c>
      <c r="M28" s="50" t="str">
        <f t="shared" si="3"/>
        <v>Female</v>
      </c>
      <c r="N28" s="65">
        <f>IF(E28="N/A",AVERAGEIF(Table79[Department],Table79[[#This Row],[Department]],Table79[Salary]),E28)</f>
        <v>49282</v>
      </c>
      <c r="O28" s="65">
        <f>IF(E28="N/A",AVERAGEIF(Table79[Country2],Table79[[#This Row],[Country2]],Table79[Salary]),E28)</f>
        <v>49282</v>
      </c>
    </row>
    <row r="29" spans="1:15" x14ac:dyDescent="0.35">
      <c r="A29" s="61" t="s">
        <v>38</v>
      </c>
      <c r="B29" s="50" t="s">
        <v>165</v>
      </c>
      <c r="C29" s="50" t="s">
        <v>170</v>
      </c>
      <c r="D29" s="50" t="s">
        <v>175</v>
      </c>
      <c r="E29" s="65">
        <v>92959</v>
      </c>
      <c r="F29" s="51">
        <v>42211</v>
      </c>
      <c r="G29" s="50">
        <v>5</v>
      </c>
      <c r="H29" s="50" t="s">
        <v>180</v>
      </c>
      <c r="I29" s="52" t="s">
        <v>209</v>
      </c>
      <c r="J29" s="50" t="str">
        <f t="shared" si="0"/>
        <v>Bob Johnson</v>
      </c>
      <c r="K29" s="50" t="str">
        <f t="shared" si="1"/>
        <v>Marketing</v>
      </c>
      <c r="L29" s="50" t="str">
        <f t="shared" si="2"/>
        <v>UK</v>
      </c>
      <c r="M29" s="50" t="str">
        <f t="shared" si="3"/>
        <v>Male</v>
      </c>
      <c r="N29" s="65">
        <f>IF(E29="N/A",AVERAGEIF(Table79[Department],Table79[[#This Row],[Department]],Table79[Salary]),E29)</f>
        <v>92959</v>
      </c>
      <c r="O29" s="65">
        <f>IF(E29="N/A",AVERAGEIF(Table79[Country2],Table79[[#This Row],[Country2]],Table79[Salary]),E29)</f>
        <v>92959</v>
      </c>
    </row>
    <row r="30" spans="1:15" x14ac:dyDescent="0.35">
      <c r="A30" s="61" t="s">
        <v>39</v>
      </c>
      <c r="B30" s="50"/>
      <c r="C30" s="50" t="s">
        <v>170</v>
      </c>
      <c r="D30" s="50"/>
      <c r="E30" s="65">
        <v>92259</v>
      </c>
      <c r="F30" s="50"/>
      <c r="G30" s="50">
        <v>1</v>
      </c>
      <c r="H30" s="50" t="s">
        <v>178</v>
      </c>
      <c r="I30" s="52" t="s">
        <v>210</v>
      </c>
      <c r="J30" s="50" t="str">
        <f t="shared" si="0"/>
        <v>UNKNOWN</v>
      </c>
      <c r="K30" s="50" t="str">
        <f t="shared" si="1"/>
        <v>Marketing</v>
      </c>
      <c r="L30" s="50" t="str">
        <f t="shared" si="2"/>
        <v>unknown</v>
      </c>
      <c r="M30" s="50" t="str">
        <f t="shared" si="3"/>
        <v>Unknown</v>
      </c>
      <c r="N30" s="65">
        <f>IF(E30="N/A",AVERAGEIF(Table79[Department],Table79[[#This Row],[Department]],Table79[Salary]),E30)</f>
        <v>92259</v>
      </c>
      <c r="O30" s="65">
        <f>IF(E30="N/A",AVERAGEIF(Table79[Country2],Table79[[#This Row],[Country2]],Table79[Salary]),E30)</f>
        <v>92259</v>
      </c>
    </row>
    <row r="31" spans="1:15" x14ac:dyDescent="0.35">
      <c r="A31" s="61" t="s">
        <v>40</v>
      </c>
      <c r="B31" s="50" t="s">
        <v>159</v>
      </c>
      <c r="C31" s="50" t="s">
        <v>167</v>
      </c>
      <c r="D31" s="50" t="s">
        <v>172</v>
      </c>
      <c r="E31" s="65">
        <v>92299</v>
      </c>
      <c r="F31" s="51">
        <v>42225</v>
      </c>
      <c r="G31" s="50">
        <v>3</v>
      </c>
      <c r="H31" s="50" t="s">
        <v>180</v>
      </c>
      <c r="I31" s="52" t="s">
        <v>211</v>
      </c>
      <c r="J31" s="50" t="str">
        <f t="shared" si="0"/>
        <v>Eve Adams</v>
      </c>
      <c r="K31" s="50" t="str">
        <f t="shared" si="1"/>
        <v>HR</v>
      </c>
      <c r="L31" s="50" t="str">
        <f t="shared" si="2"/>
        <v>Germany</v>
      </c>
      <c r="M31" s="50" t="str">
        <f t="shared" si="3"/>
        <v>Male</v>
      </c>
      <c r="N31" s="65">
        <f>IF(E31="N/A",AVERAGEIF(Table79[Department],Table79[[#This Row],[Department]],Table79[Salary]),E31)</f>
        <v>92299</v>
      </c>
      <c r="O31" s="65">
        <f>IF(E31="N/A",AVERAGEIF(Table79[Country2],Table79[[#This Row],[Country2]],Table79[Salary]),E31)</f>
        <v>92299</v>
      </c>
    </row>
    <row r="32" spans="1:15" x14ac:dyDescent="0.35">
      <c r="A32" s="61" t="s">
        <v>41</v>
      </c>
      <c r="B32" s="50" t="s">
        <v>163</v>
      </c>
      <c r="C32" s="50" t="s">
        <v>167</v>
      </c>
      <c r="D32" s="50"/>
      <c r="E32" s="65">
        <v>95586</v>
      </c>
      <c r="F32" s="51">
        <v>42232</v>
      </c>
      <c r="G32" s="50">
        <v>3</v>
      </c>
      <c r="H32" s="50" t="s">
        <v>302</v>
      </c>
      <c r="I32" s="52" t="s">
        <v>212</v>
      </c>
      <c r="J32" s="50" t="str">
        <f t="shared" si="0"/>
        <v>Sam Wilson</v>
      </c>
      <c r="K32" s="50" t="str">
        <f t="shared" si="1"/>
        <v>HR</v>
      </c>
      <c r="L32" s="50" t="str">
        <f t="shared" si="2"/>
        <v>unknown</v>
      </c>
      <c r="M32" s="50" t="str">
        <f t="shared" si="3"/>
        <v>Male</v>
      </c>
      <c r="N32" s="65">
        <f>IF(E32="N/A",AVERAGEIF(Table79[Department],Table79[[#This Row],[Department]],Table79[Salary]),E32)</f>
        <v>95586</v>
      </c>
      <c r="O32" s="65">
        <f>IF(E32="N/A",AVERAGEIF(Table79[Country2],Table79[[#This Row],[Country2]],Table79[Salary]),E32)</f>
        <v>95586</v>
      </c>
    </row>
    <row r="33" spans="1:15" x14ac:dyDescent="0.35">
      <c r="A33" s="61" t="s">
        <v>42</v>
      </c>
      <c r="B33" s="50" t="s">
        <v>164</v>
      </c>
      <c r="C33" s="50"/>
      <c r="D33" s="50" t="s">
        <v>173</v>
      </c>
      <c r="E33" s="65">
        <v>95367</v>
      </c>
      <c r="F33" s="51">
        <v>42239</v>
      </c>
      <c r="G33" s="50"/>
      <c r="H33" s="50" t="s">
        <v>180</v>
      </c>
      <c r="I33" s="52" t="s">
        <v>213</v>
      </c>
      <c r="J33" s="50" t="str">
        <f t="shared" si="0"/>
        <v>Chris Lee</v>
      </c>
      <c r="K33" s="50" t="str">
        <f t="shared" si="1"/>
        <v>Unknown</v>
      </c>
      <c r="L33" s="50" t="str">
        <f t="shared" si="2"/>
        <v>USA</v>
      </c>
      <c r="M33" s="50" t="str">
        <f t="shared" si="3"/>
        <v>Male</v>
      </c>
      <c r="N33" s="65">
        <f>IF(E33="N/A",AVERAGEIF(Table79[Department],Table79[[#This Row],[Department]],Table79[Salary]),E33)</f>
        <v>95367</v>
      </c>
      <c r="O33" s="65">
        <f>IF(E33="N/A",AVERAGEIF(Table79[Country2],Table79[[#This Row],[Country2]],Table79[Salary]),E33)</f>
        <v>95367</v>
      </c>
    </row>
    <row r="34" spans="1:15" x14ac:dyDescent="0.35">
      <c r="A34" s="61" t="s">
        <v>43</v>
      </c>
      <c r="B34" s="50" t="s">
        <v>161</v>
      </c>
      <c r="C34" s="50" t="s">
        <v>168</v>
      </c>
      <c r="D34" s="50" t="s">
        <v>176</v>
      </c>
      <c r="E34" s="65">
        <v>79549</v>
      </c>
      <c r="F34" s="51">
        <v>42246</v>
      </c>
      <c r="G34" s="50">
        <v>3</v>
      </c>
      <c r="H34" s="50" t="s">
        <v>180</v>
      </c>
      <c r="I34" s="52" t="s">
        <v>214</v>
      </c>
      <c r="J34" s="50" t="str">
        <f t="shared" ref="J34:J65" si="4">IF(ISBLANK(B34),"UNKNOWN",B34)</f>
        <v>John Doe</v>
      </c>
      <c r="K34" s="50" t="str">
        <f t="shared" ref="K34:K65" si="5">IF(ISBLANK(C34),"Unknown",C34)</f>
        <v>Sales</v>
      </c>
      <c r="L34" s="50" t="str">
        <f t="shared" ref="L34:L65" si="6">IF(ISBLANK(D34),"unknown",D34)</f>
        <v>Australia</v>
      </c>
      <c r="M34" s="50" t="str">
        <f t="shared" ref="M34:M65" si="7">PROPER(H34)</f>
        <v>Male</v>
      </c>
      <c r="N34" s="65">
        <f>IF(E34="N/A",AVERAGEIF(Table79[Department],Table79[[#This Row],[Department]],Table79[Salary]),E34)</f>
        <v>79549</v>
      </c>
      <c r="O34" s="65">
        <f>IF(E34="N/A",AVERAGEIF(Table79[Country2],Table79[[#This Row],[Country2]],Table79[Salary]),E34)</f>
        <v>79549</v>
      </c>
    </row>
    <row r="35" spans="1:15" x14ac:dyDescent="0.35">
      <c r="A35" s="61" t="s">
        <v>45</v>
      </c>
      <c r="B35" s="50" t="s">
        <v>160</v>
      </c>
      <c r="C35" s="50" t="s">
        <v>169</v>
      </c>
      <c r="D35" s="50" t="s">
        <v>173</v>
      </c>
      <c r="E35" s="65">
        <v>89781</v>
      </c>
      <c r="F35" s="51">
        <v>42260</v>
      </c>
      <c r="G35" s="50"/>
      <c r="H35" s="50" t="s">
        <v>181</v>
      </c>
      <c r="I35" s="52" t="s">
        <v>215</v>
      </c>
      <c r="J35" s="50" t="str">
        <f t="shared" si="4"/>
        <v>Alice Brown</v>
      </c>
      <c r="K35" s="50" t="str">
        <f t="shared" si="5"/>
        <v>IT</v>
      </c>
      <c r="L35" s="50" t="str">
        <f t="shared" si="6"/>
        <v>USA</v>
      </c>
      <c r="M35" s="50" t="str">
        <f t="shared" si="7"/>
        <v>Female</v>
      </c>
      <c r="N35" s="65">
        <f>IF(E35="N/A",AVERAGEIF(Table79[Department],Table79[[#This Row],[Department]],Table79[Salary]),E35)</f>
        <v>89781</v>
      </c>
      <c r="O35" s="65">
        <f>IF(E35="N/A",AVERAGEIF(Table79[Country2],Table79[[#This Row],[Country2]],Table79[Salary]),E35)</f>
        <v>89781</v>
      </c>
    </row>
    <row r="36" spans="1:15" x14ac:dyDescent="0.35">
      <c r="A36" s="61" t="s">
        <v>46</v>
      </c>
      <c r="B36" s="50" t="s">
        <v>160</v>
      </c>
      <c r="C36" s="50" t="s">
        <v>167</v>
      </c>
      <c r="D36" s="50"/>
      <c r="E36" s="65">
        <v>64796</v>
      </c>
      <c r="F36" s="51">
        <v>42267</v>
      </c>
      <c r="G36" s="50"/>
      <c r="H36" s="50" t="s">
        <v>302</v>
      </c>
      <c r="I36" s="52" t="s">
        <v>216</v>
      </c>
      <c r="J36" s="50" t="str">
        <f t="shared" si="4"/>
        <v>Alice Brown</v>
      </c>
      <c r="K36" s="50" t="str">
        <f t="shared" si="5"/>
        <v>HR</v>
      </c>
      <c r="L36" s="50" t="str">
        <f t="shared" si="6"/>
        <v>unknown</v>
      </c>
      <c r="M36" s="50" t="str">
        <f t="shared" si="7"/>
        <v>Male</v>
      </c>
      <c r="N36" s="65">
        <f>IF(E36="N/A",AVERAGEIF(Table79[Department],Table79[[#This Row],[Department]],Table79[Salary]),E36)</f>
        <v>64796</v>
      </c>
      <c r="O36" s="65">
        <f>IF(E36="N/A",AVERAGEIF(Table79[Country2],Table79[[#This Row],[Country2]],Table79[Salary]),E36)</f>
        <v>64796</v>
      </c>
    </row>
    <row r="37" spans="1:15" x14ac:dyDescent="0.35">
      <c r="A37" s="61" t="s">
        <v>47</v>
      </c>
      <c r="B37" s="50" t="s">
        <v>161</v>
      </c>
      <c r="C37" s="50" t="s">
        <v>170</v>
      </c>
      <c r="D37" s="50" t="s">
        <v>175</v>
      </c>
      <c r="E37" s="65">
        <v>52093</v>
      </c>
      <c r="F37" s="51">
        <v>42274</v>
      </c>
      <c r="G37" s="50">
        <v>5</v>
      </c>
      <c r="H37" s="50" t="s">
        <v>180</v>
      </c>
      <c r="I37" s="52" t="s">
        <v>217</v>
      </c>
      <c r="J37" s="50" t="str">
        <f t="shared" si="4"/>
        <v>John Doe</v>
      </c>
      <c r="K37" s="50" t="str">
        <f t="shared" si="5"/>
        <v>Marketing</v>
      </c>
      <c r="L37" s="50" t="str">
        <f t="shared" si="6"/>
        <v>UK</v>
      </c>
      <c r="M37" s="50" t="str">
        <f t="shared" si="7"/>
        <v>Male</v>
      </c>
      <c r="N37" s="65">
        <f>IF(E37="N/A",AVERAGEIF(Table79[Department],Table79[[#This Row],[Department]],Table79[Salary]),E37)</f>
        <v>52093</v>
      </c>
      <c r="O37" s="65">
        <f>IF(E37="N/A",AVERAGEIF(Table79[Country2],Table79[[#This Row],[Country2]],Table79[Salary]),E37)</f>
        <v>52093</v>
      </c>
    </row>
    <row r="38" spans="1:15" x14ac:dyDescent="0.35">
      <c r="A38" s="61" t="s">
        <v>48</v>
      </c>
      <c r="B38" s="50" t="s">
        <v>164</v>
      </c>
      <c r="C38" s="50" t="s">
        <v>167</v>
      </c>
      <c r="D38" s="50" t="s">
        <v>175</v>
      </c>
      <c r="E38" s="65">
        <v>48224</v>
      </c>
      <c r="F38" s="51">
        <v>42281</v>
      </c>
      <c r="G38" s="50">
        <v>3</v>
      </c>
      <c r="H38" s="50" t="s">
        <v>180</v>
      </c>
      <c r="I38" s="52" t="s">
        <v>218</v>
      </c>
      <c r="J38" s="50" t="str">
        <f t="shared" si="4"/>
        <v>Chris Lee</v>
      </c>
      <c r="K38" s="50" t="str">
        <f t="shared" si="5"/>
        <v>HR</v>
      </c>
      <c r="L38" s="50" t="str">
        <f t="shared" si="6"/>
        <v>UK</v>
      </c>
      <c r="M38" s="50" t="str">
        <f t="shared" si="7"/>
        <v>Male</v>
      </c>
      <c r="N38" s="65">
        <f>IF(E38="N/A",AVERAGEIF(Table79[Department],Table79[[#This Row],[Department]],Table79[Salary]),E38)</f>
        <v>48224</v>
      </c>
      <c r="O38" s="65">
        <f>IF(E38="N/A",AVERAGEIF(Table79[Country2],Table79[[#This Row],[Country2]],Table79[Salary]),E38)</f>
        <v>48224</v>
      </c>
    </row>
    <row r="39" spans="1:15" x14ac:dyDescent="0.35">
      <c r="A39" s="61" t="s">
        <v>49</v>
      </c>
      <c r="B39" s="50" t="s">
        <v>165</v>
      </c>
      <c r="C39" s="50" t="s">
        <v>166</v>
      </c>
      <c r="D39" s="50" t="s">
        <v>175</v>
      </c>
      <c r="E39" s="65" t="s">
        <v>177</v>
      </c>
      <c r="F39" s="50"/>
      <c r="G39" s="50">
        <v>4</v>
      </c>
      <c r="H39" s="50" t="s">
        <v>181</v>
      </c>
      <c r="I39" s="52" t="s">
        <v>219</v>
      </c>
      <c r="J39" s="50" t="str">
        <f t="shared" si="4"/>
        <v>Bob Johnson</v>
      </c>
      <c r="K39" s="50" t="str">
        <f t="shared" si="5"/>
        <v>Finance</v>
      </c>
      <c r="L39" s="50" t="str">
        <f t="shared" si="6"/>
        <v>UK</v>
      </c>
      <c r="M39" s="50" t="str">
        <f t="shared" si="7"/>
        <v>Female</v>
      </c>
      <c r="N39" s="65">
        <f>IF(E39="N/A",AVERAGEIF(Table79[Department],Table79[[#This Row],[Department]],Table79[Salary]),E39)</f>
        <v>66008.307692307688</v>
      </c>
      <c r="O39" s="65">
        <f>IF(E39="N/A",AVERAGEIF(Table79[Country2],Table79[[#This Row],[Country2]],Table79[Salary]),E39)</f>
        <v>67008.2</v>
      </c>
    </row>
    <row r="40" spans="1:15" x14ac:dyDescent="0.35">
      <c r="A40" s="61" t="s">
        <v>50</v>
      </c>
      <c r="B40" s="50" t="s">
        <v>160</v>
      </c>
      <c r="C40" s="50" t="s">
        <v>169</v>
      </c>
      <c r="D40" s="50" t="s">
        <v>172</v>
      </c>
      <c r="E40" s="65">
        <v>33956</v>
      </c>
      <c r="F40" s="51">
        <v>42295</v>
      </c>
      <c r="G40" s="50"/>
      <c r="H40" s="50" t="s">
        <v>180</v>
      </c>
      <c r="I40" s="52" t="s">
        <v>220</v>
      </c>
      <c r="J40" s="50" t="str">
        <f t="shared" si="4"/>
        <v>Alice Brown</v>
      </c>
      <c r="K40" s="50" t="str">
        <f t="shared" si="5"/>
        <v>IT</v>
      </c>
      <c r="L40" s="50" t="str">
        <f t="shared" si="6"/>
        <v>Germany</v>
      </c>
      <c r="M40" s="50" t="str">
        <f t="shared" si="7"/>
        <v>Male</v>
      </c>
      <c r="N40" s="65">
        <f>IF(E40="N/A",AVERAGEIF(Table79[Department],Table79[[#This Row],[Department]],Table79[Salary]),E40)</f>
        <v>33956</v>
      </c>
      <c r="O40" s="65">
        <f>IF(E40="N/A",AVERAGEIF(Table79[Country2],Table79[[#This Row],[Country2]],Table79[Salary]),E40)</f>
        <v>33956</v>
      </c>
    </row>
    <row r="41" spans="1:15" x14ac:dyDescent="0.35">
      <c r="A41" s="61" t="s">
        <v>51</v>
      </c>
      <c r="B41" s="50" t="s">
        <v>165</v>
      </c>
      <c r="C41" s="50"/>
      <c r="D41" s="50" t="s">
        <v>176</v>
      </c>
      <c r="E41" s="65">
        <v>64913</v>
      </c>
      <c r="F41" s="51">
        <v>42302</v>
      </c>
      <c r="G41" s="50">
        <v>1</v>
      </c>
      <c r="H41" s="50" t="s">
        <v>181</v>
      </c>
      <c r="I41" s="52" t="s">
        <v>221</v>
      </c>
      <c r="J41" s="50" t="str">
        <f t="shared" si="4"/>
        <v>Bob Johnson</v>
      </c>
      <c r="K41" s="50" t="str">
        <f t="shared" si="5"/>
        <v>Unknown</v>
      </c>
      <c r="L41" s="50" t="str">
        <f t="shared" si="6"/>
        <v>Australia</v>
      </c>
      <c r="M41" s="50" t="str">
        <f t="shared" si="7"/>
        <v>Female</v>
      </c>
      <c r="N41" s="65">
        <f>IF(E41="N/A",AVERAGEIF(Table79[Department],Table79[[#This Row],[Department]],Table79[Salary]),E41)</f>
        <v>64913</v>
      </c>
      <c r="O41" s="65">
        <f>IF(E41="N/A",AVERAGEIF(Table79[Country2],Table79[[#This Row],[Country2]],Table79[Salary]),E41)</f>
        <v>64913</v>
      </c>
    </row>
    <row r="42" spans="1:15" x14ac:dyDescent="0.35">
      <c r="A42" s="61" t="s">
        <v>52</v>
      </c>
      <c r="B42" s="50" t="s">
        <v>160</v>
      </c>
      <c r="C42" s="50" t="s">
        <v>170</v>
      </c>
      <c r="D42" s="50" t="s">
        <v>176</v>
      </c>
      <c r="E42" s="65">
        <v>35326</v>
      </c>
      <c r="F42" s="51">
        <v>42309</v>
      </c>
      <c r="G42" s="50"/>
      <c r="H42" s="50" t="s">
        <v>181</v>
      </c>
      <c r="I42" s="52" t="s">
        <v>222</v>
      </c>
      <c r="J42" s="50" t="str">
        <f t="shared" si="4"/>
        <v>Alice Brown</v>
      </c>
      <c r="K42" s="50" t="str">
        <f t="shared" si="5"/>
        <v>Marketing</v>
      </c>
      <c r="L42" s="50" t="str">
        <f t="shared" si="6"/>
        <v>Australia</v>
      </c>
      <c r="M42" s="50" t="str">
        <f t="shared" si="7"/>
        <v>Female</v>
      </c>
      <c r="N42" s="65">
        <f>IF(E42="N/A",AVERAGEIF(Table79[Department],Table79[[#This Row],[Department]],Table79[Salary]),E42)</f>
        <v>35326</v>
      </c>
      <c r="O42" s="65">
        <f>IF(E42="N/A",AVERAGEIF(Table79[Country2],Table79[[#This Row],[Country2]],Table79[Salary]),E42)</f>
        <v>35326</v>
      </c>
    </row>
    <row r="43" spans="1:15" x14ac:dyDescent="0.35">
      <c r="A43" s="61" t="s">
        <v>53</v>
      </c>
      <c r="B43" s="50" t="s">
        <v>164</v>
      </c>
      <c r="C43" s="50" t="s">
        <v>166</v>
      </c>
      <c r="D43" s="50"/>
      <c r="E43" s="65">
        <v>81610</v>
      </c>
      <c r="F43" s="51">
        <v>42316</v>
      </c>
      <c r="G43" s="50">
        <v>1</v>
      </c>
      <c r="H43" s="50" t="s">
        <v>180</v>
      </c>
      <c r="I43" s="52" t="s">
        <v>223</v>
      </c>
      <c r="J43" s="50" t="str">
        <f t="shared" si="4"/>
        <v>Chris Lee</v>
      </c>
      <c r="K43" s="50" t="str">
        <f t="shared" si="5"/>
        <v>Finance</v>
      </c>
      <c r="L43" s="50" t="str">
        <f t="shared" si="6"/>
        <v>unknown</v>
      </c>
      <c r="M43" s="50" t="str">
        <f t="shared" si="7"/>
        <v>Male</v>
      </c>
      <c r="N43" s="65">
        <f>IF(E43="N/A",AVERAGEIF(Table79[Department],Table79[[#This Row],[Department]],Table79[Salary]),E43)</f>
        <v>81610</v>
      </c>
      <c r="O43" s="65">
        <f>IF(E43="N/A",AVERAGEIF(Table79[Country2],Table79[[#This Row],[Country2]],Table79[Salary]),E43)</f>
        <v>81610</v>
      </c>
    </row>
    <row r="44" spans="1:15" x14ac:dyDescent="0.35">
      <c r="A44" s="61" t="s">
        <v>55</v>
      </c>
      <c r="B44" s="50" t="s">
        <v>164</v>
      </c>
      <c r="C44" s="50" t="s">
        <v>169</v>
      </c>
      <c r="D44" s="50" t="s">
        <v>172</v>
      </c>
      <c r="E44" s="65">
        <v>92701</v>
      </c>
      <c r="F44" s="51">
        <v>42330</v>
      </c>
      <c r="G44" s="50">
        <v>3</v>
      </c>
      <c r="H44" s="50" t="s">
        <v>302</v>
      </c>
      <c r="I44" s="52" t="s">
        <v>224</v>
      </c>
      <c r="J44" s="50" t="str">
        <f t="shared" si="4"/>
        <v>Chris Lee</v>
      </c>
      <c r="K44" s="50" t="str">
        <f t="shared" si="5"/>
        <v>IT</v>
      </c>
      <c r="L44" s="50" t="str">
        <f t="shared" si="6"/>
        <v>Germany</v>
      </c>
      <c r="M44" s="50" t="str">
        <f t="shared" si="7"/>
        <v>Male</v>
      </c>
      <c r="N44" s="65">
        <f>IF(E44="N/A",AVERAGEIF(Table79[Department],Table79[[#This Row],[Department]],Table79[Salary]),E44)</f>
        <v>92701</v>
      </c>
      <c r="O44" s="65">
        <f>IF(E44="N/A",AVERAGEIF(Table79[Country2],Table79[[#This Row],[Country2]],Table79[Salary]),E44)</f>
        <v>92701</v>
      </c>
    </row>
    <row r="45" spans="1:15" x14ac:dyDescent="0.35">
      <c r="A45" s="61" t="s">
        <v>56</v>
      </c>
      <c r="B45" s="50" t="s">
        <v>164</v>
      </c>
      <c r="C45" s="50" t="s">
        <v>167</v>
      </c>
      <c r="D45" s="50" t="s">
        <v>174</v>
      </c>
      <c r="E45" s="65">
        <v>58245</v>
      </c>
      <c r="F45" s="51">
        <v>42337</v>
      </c>
      <c r="G45" s="50">
        <v>4</v>
      </c>
      <c r="H45" s="50" t="s">
        <v>180</v>
      </c>
      <c r="I45" s="52" t="s">
        <v>225</v>
      </c>
      <c r="J45" s="50" t="str">
        <f t="shared" si="4"/>
        <v>Chris Lee</v>
      </c>
      <c r="K45" s="50" t="str">
        <f t="shared" si="5"/>
        <v>HR</v>
      </c>
      <c r="L45" s="50" t="str">
        <f t="shared" si="6"/>
        <v>India</v>
      </c>
      <c r="M45" s="50" t="str">
        <f t="shared" si="7"/>
        <v>Male</v>
      </c>
      <c r="N45" s="65">
        <f>IF(E45="N/A",AVERAGEIF(Table79[Department],Table79[[#This Row],[Department]],Table79[Salary]),E45)</f>
        <v>58245</v>
      </c>
      <c r="O45" s="65">
        <f>IF(E45="N/A",AVERAGEIF(Table79[Country2],Table79[[#This Row],[Country2]],Table79[Salary]),E45)</f>
        <v>58245</v>
      </c>
    </row>
    <row r="46" spans="1:15" x14ac:dyDescent="0.35">
      <c r="A46" s="61" t="s">
        <v>59</v>
      </c>
      <c r="B46" s="50" t="s">
        <v>164</v>
      </c>
      <c r="C46" s="50"/>
      <c r="D46" s="50" t="s">
        <v>171</v>
      </c>
      <c r="E46" s="65">
        <v>30686</v>
      </c>
      <c r="F46" s="50"/>
      <c r="G46" s="50">
        <v>2</v>
      </c>
      <c r="H46" s="50" t="s">
        <v>181</v>
      </c>
      <c r="I46" s="52" t="s">
        <v>226</v>
      </c>
      <c r="J46" s="50" t="str">
        <f t="shared" si="4"/>
        <v>Chris Lee</v>
      </c>
      <c r="K46" s="50" t="str">
        <f t="shared" si="5"/>
        <v>Unknown</v>
      </c>
      <c r="L46" s="50" t="str">
        <f t="shared" si="6"/>
        <v xml:space="preserve"> </v>
      </c>
      <c r="M46" s="50" t="str">
        <f t="shared" si="7"/>
        <v>Female</v>
      </c>
      <c r="N46" s="65">
        <f>IF(E46="N/A",AVERAGEIF(Table79[Department],Table79[[#This Row],[Department]],Table79[Salary]),E46)</f>
        <v>30686</v>
      </c>
      <c r="O46" s="65">
        <f>IF(E46="N/A",AVERAGEIF(Table79[Country2],Table79[[#This Row],[Country2]],Table79[Salary]),E46)</f>
        <v>30686</v>
      </c>
    </row>
    <row r="47" spans="1:15" x14ac:dyDescent="0.35">
      <c r="A47" s="61" t="s">
        <v>60</v>
      </c>
      <c r="B47" s="50" t="s">
        <v>163</v>
      </c>
      <c r="C47" s="50" t="s">
        <v>168</v>
      </c>
      <c r="D47" s="50" t="s">
        <v>174</v>
      </c>
      <c r="E47" s="65">
        <v>39423</v>
      </c>
      <c r="F47" s="51">
        <v>42365</v>
      </c>
      <c r="G47" s="50">
        <v>5</v>
      </c>
      <c r="H47" s="50" t="s">
        <v>180</v>
      </c>
      <c r="I47" s="52" t="s">
        <v>227</v>
      </c>
      <c r="J47" s="50" t="str">
        <f t="shared" si="4"/>
        <v>Sam Wilson</v>
      </c>
      <c r="K47" s="50" t="str">
        <f t="shared" si="5"/>
        <v>Sales</v>
      </c>
      <c r="L47" s="50" t="str">
        <f t="shared" si="6"/>
        <v>India</v>
      </c>
      <c r="M47" s="50" t="str">
        <f t="shared" si="7"/>
        <v>Male</v>
      </c>
      <c r="N47" s="65">
        <f>IF(E47="N/A",AVERAGEIF(Table79[Department],Table79[[#This Row],[Department]],Table79[Salary]),E47)</f>
        <v>39423</v>
      </c>
      <c r="O47" s="65">
        <f>IF(E47="N/A",AVERAGEIF(Table79[Country2],Table79[[#This Row],[Country2]],Table79[Salary]),E47)</f>
        <v>39423</v>
      </c>
    </row>
    <row r="48" spans="1:15" x14ac:dyDescent="0.35">
      <c r="A48" s="61" t="s">
        <v>61</v>
      </c>
      <c r="B48" s="50" t="s">
        <v>159</v>
      </c>
      <c r="C48" s="50" t="s">
        <v>170</v>
      </c>
      <c r="D48" s="50"/>
      <c r="E48" s="65">
        <v>30280</v>
      </c>
      <c r="F48" s="51">
        <v>42372</v>
      </c>
      <c r="G48" s="50">
        <v>1</v>
      </c>
      <c r="H48" s="50" t="s">
        <v>180</v>
      </c>
      <c r="I48" s="52" t="s">
        <v>228</v>
      </c>
      <c r="J48" s="50" t="str">
        <f t="shared" si="4"/>
        <v>Eve Adams</v>
      </c>
      <c r="K48" s="50" t="str">
        <f t="shared" si="5"/>
        <v>Marketing</v>
      </c>
      <c r="L48" s="50" t="str">
        <f t="shared" si="6"/>
        <v>unknown</v>
      </c>
      <c r="M48" s="50" t="str">
        <f t="shared" si="7"/>
        <v>Male</v>
      </c>
      <c r="N48" s="65">
        <f>IF(E48="N/A",AVERAGEIF(Table79[Department],Table79[[#This Row],[Department]],Table79[Salary]),E48)</f>
        <v>30280</v>
      </c>
      <c r="O48" s="65">
        <f>IF(E48="N/A",AVERAGEIF(Table79[Country2],Table79[[#This Row],[Country2]],Table79[Salary]),E48)</f>
        <v>30280</v>
      </c>
    </row>
    <row r="49" spans="1:15" x14ac:dyDescent="0.35">
      <c r="A49" s="61" t="s">
        <v>63</v>
      </c>
      <c r="B49" s="50" t="s">
        <v>165</v>
      </c>
      <c r="C49" s="50" t="s">
        <v>170</v>
      </c>
      <c r="D49" s="50" t="s">
        <v>175</v>
      </c>
      <c r="E49" s="65">
        <v>75633</v>
      </c>
      <c r="F49" s="51">
        <v>42386</v>
      </c>
      <c r="G49" s="50">
        <v>5</v>
      </c>
      <c r="H49" s="50" t="s">
        <v>302</v>
      </c>
      <c r="I49" s="52" t="s">
        <v>229</v>
      </c>
      <c r="J49" s="50" t="str">
        <f t="shared" si="4"/>
        <v>Bob Johnson</v>
      </c>
      <c r="K49" s="50" t="str">
        <f t="shared" si="5"/>
        <v>Marketing</v>
      </c>
      <c r="L49" s="50" t="str">
        <f t="shared" si="6"/>
        <v>UK</v>
      </c>
      <c r="M49" s="50" t="str">
        <f t="shared" si="7"/>
        <v>Male</v>
      </c>
      <c r="N49" s="65">
        <f>IF(E49="N/A",AVERAGEIF(Table79[Department],Table79[[#This Row],[Department]],Table79[Salary]),E49)</f>
        <v>75633</v>
      </c>
      <c r="O49" s="65">
        <f>IF(E49="N/A",AVERAGEIF(Table79[Country2],Table79[[#This Row],[Country2]],Table79[Salary]),E49)</f>
        <v>75633</v>
      </c>
    </row>
    <row r="50" spans="1:15" x14ac:dyDescent="0.35">
      <c r="A50" s="61" t="s">
        <v>64</v>
      </c>
      <c r="B50" s="50" t="s">
        <v>164</v>
      </c>
      <c r="C50" s="50"/>
      <c r="D50" s="50" t="s">
        <v>173</v>
      </c>
      <c r="E50" s="65">
        <v>74815</v>
      </c>
      <c r="F50" s="51">
        <v>42393</v>
      </c>
      <c r="G50" s="50">
        <v>5</v>
      </c>
      <c r="H50" s="50" t="s">
        <v>181</v>
      </c>
      <c r="I50" s="52" t="s">
        <v>230</v>
      </c>
      <c r="J50" s="50" t="str">
        <f t="shared" si="4"/>
        <v>Chris Lee</v>
      </c>
      <c r="K50" s="50" t="str">
        <f t="shared" si="5"/>
        <v>Unknown</v>
      </c>
      <c r="L50" s="50" t="str">
        <f t="shared" si="6"/>
        <v>USA</v>
      </c>
      <c r="M50" s="50" t="str">
        <f t="shared" si="7"/>
        <v>Female</v>
      </c>
      <c r="N50" s="65">
        <f>IF(E50="N/A",AVERAGEIF(Table79[Department],Table79[[#This Row],[Department]],Table79[Salary]),E50)</f>
        <v>74815</v>
      </c>
      <c r="O50" s="65">
        <f>IF(E50="N/A",AVERAGEIF(Table79[Country2],Table79[[#This Row],[Country2]],Table79[Salary]),E50)</f>
        <v>74815</v>
      </c>
    </row>
    <row r="51" spans="1:15" x14ac:dyDescent="0.35">
      <c r="A51" s="61" t="s">
        <v>65</v>
      </c>
      <c r="B51" s="50" t="s">
        <v>161</v>
      </c>
      <c r="C51" s="50" t="s">
        <v>168</v>
      </c>
      <c r="D51" s="50" t="s">
        <v>176</v>
      </c>
      <c r="E51" s="65">
        <v>60011</v>
      </c>
      <c r="F51" s="51">
        <v>42400</v>
      </c>
      <c r="G51" s="50">
        <v>1</v>
      </c>
      <c r="H51" s="50" t="s">
        <v>180</v>
      </c>
      <c r="I51" s="52" t="s">
        <v>231</v>
      </c>
      <c r="J51" s="50" t="str">
        <f t="shared" si="4"/>
        <v>John Doe</v>
      </c>
      <c r="K51" s="50" t="str">
        <f t="shared" si="5"/>
        <v>Sales</v>
      </c>
      <c r="L51" s="50" t="str">
        <f t="shared" si="6"/>
        <v>Australia</v>
      </c>
      <c r="M51" s="50" t="str">
        <f t="shared" si="7"/>
        <v>Male</v>
      </c>
      <c r="N51" s="65">
        <f>IF(E51="N/A",AVERAGEIF(Table79[Department],Table79[[#This Row],[Department]],Table79[Salary]),E51)</f>
        <v>60011</v>
      </c>
      <c r="O51" s="65">
        <f>IF(E51="N/A",AVERAGEIF(Table79[Country2],Table79[[#This Row],[Country2]],Table79[Salary]),E51)</f>
        <v>60011</v>
      </c>
    </row>
    <row r="52" spans="1:15" x14ac:dyDescent="0.35">
      <c r="A52" s="61" t="s">
        <v>67</v>
      </c>
      <c r="B52" s="50" t="s">
        <v>163</v>
      </c>
      <c r="C52" s="50" t="s">
        <v>170</v>
      </c>
      <c r="D52" s="50"/>
      <c r="E52" s="65">
        <v>84924</v>
      </c>
      <c r="F52" s="51">
        <v>42414</v>
      </c>
      <c r="G52" s="50">
        <v>5</v>
      </c>
      <c r="H52" s="50" t="s">
        <v>180</v>
      </c>
      <c r="I52" s="52" t="s">
        <v>232</v>
      </c>
      <c r="J52" s="50" t="str">
        <f t="shared" si="4"/>
        <v>Sam Wilson</v>
      </c>
      <c r="K52" s="50" t="str">
        <f t="shared" si="5"/>
        <v>Marketing</v>
      </c>
      <c r="L52" s="50" t="str">
        <f t="shared" si="6"/>
        <v>unknown</v>
      </c>
      <c r="M52" s="50" t="str">
        <f t="shared" si="7"/>
        <v>Male</v>
      </c>
      <c r="N52" s="65">
        <f>IF(E52="N/A",AVERAGEIF(Table79[Department],Table79[[#This Row],[Department]],Table79[Salary]),E52)</f>
        <v>84924</v>
      </c>
      <c r="O52" s="65">
        <f>IF(E52="N/A",AVERAGEIF(Table79[Country2],Table79[[#This Row],[Country2]],Table79[Salary]),E52)</f>
        <v>84924</v>
      </c>
    </row>
    <row r="53" spans="1:15" x14ac:dyDescent="0.35">
      <c r="A53" s="61" t="s">
        <v>69</v>
      </c>
      <c r="B53" s="50"/>
      <c r="C53" s="50" t="s">
        <v>170</v>
      </c>
      <c r="D53" s="50" t="s">
        <v>172</v>
      </c>
      <c r="E53" s="65" t="s">
        <v>177</v>
      </c>
      <c r="F53" s="50"/>
      <c r="G53" s="50">
        <v>5</v>
      </c>
      <c r="H53" s="50" t="s">
        <v>178</v>
      </c>
      <c r="I53" s="52" t="s">
        <v>233</v>
      </c>
      <c r="J53" s="50" t="str">
        <f t="shared" si="4"/>
        <v>UNKNOWN</v>
      </c>
      <c r="K53" s="50" t="str">
        <f t="shared" si="5"/>
        <v>Marketing</v>
      </c>
      <c r="L53" s="50" t="str">
        <f t="shared" si="6"/>
        <v>Germany</v>
      </c>
      <c r="M53" s="50" t="str">
        <f t="shared" si="7"/>
        <v>Unknown</v>
      </c>
      <c r="N53" s="65">
        <f>IF(E53="N/A",AVERAGEIF(Table79[Department],Table79[[#This Row],[Department]],Table79[Salary]),E53)</f>
        <v>66344</v>
      </c>
      <c r="O53" s="65">
        <f>IF(E53="N/A",AVERAGEIF(Table79[Country2],Table79[[#This Row],[Country2]],Table79[Salary]),E53)</f>
        <v>71793.71428571429</v>
      </c>
    </row>
    <row r="54" spans="1:15" x14ac:dyDescent="0.35">
      <c r="A54" s="61" t="s">
        <v>71</v>
      </c>
      <c r="B54" s="50" t="s">
        <v>164</v>
      </c>
      <c r="C54" s="50" t="s">
        <v>169</v>
      </c>
      <c r="D54" s="50" t="s">
        <v>175</v>
      </c>
      <c r="E54" s="65">
        <v>97981</v>
      </c>
      <c r="F54" s="51">
        <v>42442</v>
      </c>
      <c r="G54" s="50">
        <v>5</v>
      </c>
      <c r="H54" s="50" t="s">
        <v>181</v>
      </c>
      <c r="I54" s="52" t="s">
        <v>234</v>
      </c>
      <c r="J54" s="50" t="str">
        <f t="shared" si="4"/>
        <v>Chris Lee</v>
      </c>
      <c r="K54" s="50" t="str">
        <f t="shared" si="5"/>
        <v>IT</v>
      </c>
      <c r="L54" s="50" t="str">
        <f t="shared" si="6"/>
        <v>UK</v>
      </c>
      <c r="M54" s="50" t="str">
        <f t="shared" si="7"/>
        <v>Female</v>
      </c>
      <c r="N54" s="65">
        <f>IF(E54="N/A",AVERAGEIF(Table79[Department],Table79[[#This Row],[Department]],Table79[Salary]),E54)</f>
        <v>97981</v>
      </c>
      <c r="O54" s="65">
        <f>IF(E54="N/A",AVERAGEIF(Table79[Country2],Table79[[#This Row],[Country2]],Table79[Salary]),E54)</f>
        <v>97981</v>
      </c>
    </row>
    <row r="55" spans="1:15" x14ac:dyDescent="0.35">
      <c r="A55" s="61" t="s">
        <v>72</v>
      </c>
      <c r="B55" s="50" t="s">
        <v>159</v>
      </c>
      <c r="C55" s="50" t="s">
        <v>167</v>
      </c>
      <c r="D55" s="50" t="s">
        <v>173</v>
      </c>
      <c r="E55" s="65">
        <v>36541</v>
      </c>
      <c r="F55" s="51">
        <v>42449</v>
      </c>
      <c r="G55" s="50">
        <v>2</v>
      </c>
      <c r="H55" s="50" t="s">
        <v>302</v>
      </c>
      <c r="I55" s="52" t="s">
        <v>235</v>
      </c>
      <c r="J55" s="50" t="str">
        <f t="shared" si="4"/>
        <v>Eve Adams</v>
      </c>
      <c r="K55" s="50" t="str">
        <f t="shared" si="5"/>
        <v>HR</v>
      </c>
      <c r="L55" s="50" t="str">
        <f t="shared" si="6"/>
        <v>USA</v>
      </c>
      <c r="M55" s="50" t="str">
        <f t="shared" si="7"/>
        <v>Male</v>
      </c>
      <c r="N55" s="65">
        <f>IF(E55="N/A",AVERAGEIF(Table79[Department],Table79[[#This Row],[Department]],Table79[Salary]),E55)</f>
        <v>36541</v>
      </c>
      <c r="O55" s="65">
        <f>IF(E55="N/A",AVERAGEIF(Table79[Country2],Table79[[#This Row],[Country2]],Table79[Salary]),E55)</f>
        <v>36541</v>
      </c>
    </row>
    <row r="56" spans="1:15" x14ac:dyDescent="0.35">
      <c r="A56" s="61" t="s">
        <v>73</v>
      </c>
      <c r="B56" s="50" t="s">
        <v>161</v>
      </c>
      <c r="C56" s="50" t="s">
        <v>169</v>
      </c>
      <c r="D56" s="50" t="s">
        <v>174</v>
      </c>
      <c r="E56" s="65">
        <v>84737</v>
      </c>
      <c r="F56" s="51">
        <v>42456</v>
      </c>
      <c r="G56" s="50">
        <v>1</v>
      </c>
      <c r="H56" s="50" t="s">
        <v>180</v>
      </c>
      <c r="I56" s="52" t="s">
        <v>236</v>
      </c>
      <c r="J56" s="50" t="str">
        <f t="shared" si="4"/>
        <v>John Doe</v>
      </c>
      <c r="K56" s="50" t="str">
        <f t="shared" si="5"/>
        <v>IT</v>
      </c>
      <c r="L56" s="50" t="str">
        <f t="shared" si="6"/>
        <v>India</v>
      </c>
      <c r="M56" s="50" t="str">
        <f t="shared" si="7"/>
        <v>Male</v>
      </c>
      <c r="N56" s="65">
        <f>IF(E56="N/A",AVERAGEIF(Table79[Department],Table79[[#This Row],[Department]],Table79[Salary]),E56)</f>
        <v>84737</v>
      </c>
      <c r="O56" s="65">
        <f>IF(E56="N/A",AVERAGEIF(Table79[Country2],Table79[[#This Row],[Country2]],Table79[Salary]),E56)</f>
        <v>84737</v>
      </c>
    </row>
    <row r="57" spans="1:15" x14ac:dyDescent="0.35">
      <c r="A57" s="61" t="s">
        <v>74</v>
      </c>
      <c r="B57" s="50" t="s">
        <v>163</v>
      </c>
      <c r="C57" s="50" t="s">
        <v>166</v>
      </c>
      <c r="D57" s="50" t="s">
        <v>174</v>
      </c>
      <c r="E57" s="65">
        <v>33468</v>
      </c>
      <c r="F57" s="51">
        <v>42463</v>
      </c>
      <c r="G57" s="50">
        <v>4</v>
      </c>
      <c r="H57" s="50" t="s">
        <v>180</v>
      </c>
      <c r="I57" s="52" t="s">
        <v>237</v>
      </c>
      <c r="J57" s="50" t="str">
        <f t="shared" si="4"/>
        <v>Sam Wilson</v>
      </c>
      <c r="K57" s="50" t="str">
        <f t="shared" si="5"/>
        <v>Finance</v>
      </c>
      <c r="L57" s="50" t="str">
        <f t="shared" si="6"/>
        <v>India</v>
      </c>
      <c r="M57" s="50" t="str">
        <f t="shared" si="7"/>
        <v>Male</v>
      </c>
      <c r="N57" s="65">
        <f>IF(E57="N/A",AVERAGEIF(Table79[Department],Table79[[#This Row],[Department]],Table79[Salary]),E57)</f>
        <v>33468</v>
      </c>
      <c r="O57" s="65">
        <f>IF(E57="N/A",AVERAGEIF(Table79[Country2],Table79[[#This Row],[Country2]],Table79[Salary]),E57)</f>
        <v>33468</v>
      </c>
    </row>
    <row r="58" spans="1:15" x14ac:dyDescent="0.35">
      <c r="A58" s="61" t="s">
        <v>75</v>
      </c>
      <c r="B58" s="50" t="s">
        <v>163</v>
      </c>
      <c r="C58" s="50"/>
      <c r="D58" s="50" t="s">
        <v>176</v>
      </c>
      <c r="E58" s="65">
        <v>96365</v>
      </c>
      <c r="F58" s="51">
        <v>42470</v>
      </c>
      <c r="G58" s="50">
        <v>3</v>
      </c>
      <c r="H58" s="50" t="s">
        <v>302</v>
      </c>
      <c r="I58" s="52" t="s">
        <v>238</v>
      </c>
      <c r="J58" s="50" t="str">
        <f t="shared" si="4"/>
        <v>Sam Wilson</v>
      </c>
      <c r="K58" s="50" t="str">
        <f t="shared" si="5"/>
        <v>Unknown</v>
      </c>
      <c r="L58" s="50" t="str">
        <f t="shared" si="6"/>
        <v>Australia</v>
      </c>
      <c r="M58" s="50" t="str">
        <f t="shared" si="7"/>
        <v>Male</v>
      </c>
      <c r="N58" s="65">
        <f>IF(E58="N/A",AVERAGEIF(Table79[Department],Table79[[#This Row],[Department]],Table79[Salary]),E58)</f>
        <v>96365</v>
      </c>
      <c r="O58" s="65">
        <f>IF(E58="N/A",AVERAGEIF(Table79[Country2],Table79[[#This Row],[Country2]],Table79[Salary]),E58)</f>
        <v>96365</v>
      </c>
    </row>
    <row r="59" spans="1:15" x14ac:dyDescent="0.35">
      <c r="A59" s="61" t="s">
        <v>76</v>
      </c>
      <c r="B59" s="50" t="s">
        <v>160</v>
      </c>
      <c r="C59" s="50" t="s">
        <v>168</v>
      </c>
      <c r="D59" s="50" t="s">
        <v>174</v>
      </c>
      <c r="E59" s="65">
        <v>61942</v>
      </c>
      <c r="F59" s="51">
        <v>42477</v>
      </c>
      <c r="G59" s="50">
        <v>3</v>
      </c>
      <c r="H59" s="50" t="s">
        <v>181</v>
      </c>
      <c r="I59" s="52" t="s">
        <v>239</v>
      </c>
      <c r="J59" s="50" t="str">
        <f t="shared" si="4"/>
        <v>Alice Brown</v>
      </c>
      <c r="K59" s="50" t="str">
        <f t="shared" si="5"/>
        <v>Sales</v>
      </c>
      <c r="L59" s="50" t="str">
        <f t="shared" si="6"/>
        <v>India</v>
      </c>
      <c r="M59" s="50" t="str">
        <f t="shared" si="7"/>
        <v>Female</v>
      </c>
      <c r="N59" s="65">
        <f>IF(E59="N/A",AVERAGEIF(Table79[Department],Table79[[#This Row],[Department]],Table79[Salary]),E59)</f>
        <v>61942</v>
      </c>
      <c r="O59" s="65">
        <f>IF(E59="N/A",AVERAGEIF(Table79[Country2],Table79[[#This Row],[Country2]],Table79[Salary]),E59)</f>
        <v>61942</v>
      </c>
    </row>
    <row r="60" spans="1:15" x14ac:dyDescent="0.35">
      <c r="A60" s="61" t="s">
        <v>78</v>
      </c>
      <c r="B60" s="50" t="s">
        <v>165</v>
      </c>
      <c r="C60" s="50" t="s">
        <v>166</v>
      </c>
      <c r="D60" s="50" t="s">
        <v>174</v>
      </c>
      <c r="E60" s="65">
        <v>77096</v>
      </c>
      <c r="F60" s="51">
        <v>42491</v>
      </c>
      <c r="G60" s="50">
        <v>1</v>
      </c>
      <c r="H60" s="50" t="s">
        <v>180</v>
      </c>
      <c r="I60" s="52" t="s">
        <v>240</v>
      </c>
      <c r="J60" s="50" t="str">
        <f t="shared" si="4"/>
        <v>Bob Johnson</v>
      </c>
      <c r="K60" s="50" t="str">
        <f t="shared" si="5"/>
        <v>Finance</v>
      </c>
      <c r="L60" s="50" t="str">
        <f t="shared" si="6"/>
        <v>India</v>
      </c>
      <c r="M60" s="50" t="str">
        <f t="shared" si="7"/>
        <v>Male</v>
      </c>
      <c r="N60" s="65">
        <f>IF(E60="N/A",AVERAGEIF(Table79[Department],Table79[[#This Row],[Department]],Table79[Salary]),E60)</f>
        <v>77096</v>
      </c>
      <c r="O60" s="65">
        <f>IF(E60="N/A",AVERAGEIF(Table79[Country2],Table79[[#This Row],[Country2]],Table79[Salary]),E60)</f>
        <v>77096</v>
      </c>
    </row>
    <row r="61" spans="1:15" x14ac:dyDescent="0.35">
      <c r="A61" s="61" t="s">
        <v>80</v>
      </c>
      <c r="B61" s="50" t="s">
        <v>159</v>
      </c>
      <c r="C61" s="50" t="s">
        <v>170</v>
      </c>
      <c r="D61" s="50" t="s">
        <v>173</v>
      </c>
      <c r="E61" s="65">
        <v>85065</v>
      </c>
      <c r="F61" s="51">
        <v>42505</v>
      </c>
      <c r="G61" s="50">
        <v>3</v>
      </c>
      <c r="H61" s="50" t="s">
        <v>180</v>
      </c>
      <c r="I61" s="52" t="s">
        <v>241</v>
      </c>
      <c r="J61" s="50" t="str">
        <f t="shared" si="4"/>
        <v>Eve Adams</v>
      </c>
      <c r="K61" s="50" t="str">
        <f t="shared" si="5"/>
        <v>Marketing</v>
      </c>
      <c r="L61" s="50" t="str">
        <f t="shared" si="6"/>
        <v>USA</v>
      </c>
      <c r="M61" s="50" t="str">
        <f t="shared" si="7"/>
        <v>Male</v>
      </c>
      <c r="N61" s="65">
        <f>IF(E61="N/A",AVERAGEIF(Table79[Department],Table79[[#This Row],[Department]],Table79[Salary]),E61)</f>
        <v>85065</v>
      </c>
      <c r="O61" s="65">
        <f>IF(E61="N/A",AVERAGEIF(Table79[Country2],Table79[[#This Row],[Country2]],Table79[Salary]),E61)</f>
        <v>85065</v>
      </c>
    </row>
    <row r="62" spans="1:15" x14ac:dyDescent="0.35">
      <c r="A62" s="61" t="s">
        <v>84</v>
      </c>
      <c r="B62" s="50"/>
      <c r="C62" s="50" t="s">
        <v>168</v>
      </c>
      <c r="D62" s="50" t="s">
        <v>171</v>
      </c>
      <c r="E62" s="65">
        <v>96142</v>
      </c>
      <c r="F62" s="51">
        <v>42533</v>
      </c>
      <c r="G62" s="50">
        <v>1</v>
      </c>
      <c r="H62" s="50" t="s">
        <v>302</v>
      </c>
      <c r="I62" s="52" t="s">
        <v>242</v>
      </c>
      <c r="J62" s="50" t="str">
        <f t="shared" si="4"/>
        <v>UNKNOWN</v>
      </c>
      <c r="K62" s="50" t="str">
        <f t="shared" si="5"/>
        <v>Sales</v>
      </c>
      <c r="L62" s="50" t="str">
        <f t="shared" si="6"/>
        <v xml:space="preserve"> </v>
      </c>
      <c r="M62" s="50" t="str">
        <f t="shared" si="7"/>
        <v>Male</v>
      </c>
      <c r="N62" s="65">
        <f>IF(E62="N/A",AVERAGEIF(Table79[Department],Table79[[#This Row],[Department]],Table79[Salary]),E62)</f>
        <v>96142</v>
      </c>
      <c r="O62" s="65">
        <f>IF(E62="N/A",AVERAGEIF(Table79[Country2],Table79[[#This Row],[Country2]],Table79[Salary]),E62)</f>
        <v>96142</v>
      </c>
    </row>
    <row r="63" spans="1:15" x14ac:dyDescent="0.35">
      <c r="A63" s="61" t="s">
        <v>86</v>
      </c>
      <c r="B63" s="50" t="s">
        <v>162</v>
      </c>
      <c r="C63" s="50"/>
      <c r="D63" s="50" t="s">
        <v>175</v>
      </c>
      <c r="E63" s="65">
        <v>69166</v>
      </c>
      <c r="F63" s="51">
        <v>42547</v>
      </c>
      <c r="G63" s="50">
        <v>1</v>
      </c>
      <c r="H63" s="50" t="s">
        <v>181</v>
      </c>
      <c r="I63" s="52" t="s">
        <v>243</v>
      </c>
      <c r="J63" s="50" t="str">
        <f t="shared" si="4"/>
        <v>Jane Smith</v>
      </c>
      <c r="K63" s="50" t="str">
        <f t="shared" si="5"/>
        <v>Unknown</v>
      </c>
      <c r="L63" s="50" t="str">
        <f t="shared" si="6"/>
        <v>UK</v>
      </c>
      <c r="M63" s="50" t="str">
        <f t="shared" si="7"/>
        <v>Female</v>
      </c>
      <c r="N63" s="65">
        <f>IF(E63="N/A",AVERAGEIF(Table79[Department],Table79[[#This Row],[Department]],Table79[Salary]),E63)</f>
        <v>69166</v>
      </c>
      <c r="O63" s="65">
        <f>IF(E63="N/A",AVERAGEIF(Table79[Country2],Table79[[#This Row],[Country2]],Table79[Salary]),E63)</f>
        <v>69166</v>
      </c>
    </row>
    <row r="64" spans="1:15" x14ac:dyDescent="0.35">
      <c r="A64" s="61" t="s">
        <v>87</v>
      </c>
      <c r="B64" s="50" t="s">
        <v>163</v>
      </c>
      <c r="C64" s="50"/>
      <c r="D64" s="50" t="s">
        <v>175</v>
      </c>
      <c r="E64" s="65">
        <v>78245</v>
      </c>
      <c r="F64" s="51">
        <v>42554</v>
      </c>
      <c r="G64" s="50">
        <v>2</v>
      </c>
      <c r="H64" s="50" t="s">
        <v>180</v>
      </c>
      <c r="I64" s="52" t="s">
        <v>244</v>
      </c>
      <c r="J64" s="50" t="str">
        <f t="shared" si="4"/>
        <v>Sam Wilson</v>
      </c>
      <c r="K64" s="50" t="str">
        <f t="shared" si="5"/>
        <v>Unknown</v>
      </c>
      <c r="L64" s="50" t="str">
        <f t="shared" si="6"/>
        <v>UK</v>
      </c>
      <c r="M64" s="50" t="str">
        <f t="shared" si="7"/>
        <v>Male</v>
      </c>
      <c r="N64" s="65">
        <f>IF(E64="N/A",AVERAGEIF(Table79[Department],Table79[[#This Row],[Department]],Table79[Salary]),E64)</f>
        <v>78245</v>
      </c>
      <c r="O64" s="65">
        <f>IF(E64="N/A",AVERAGEIF(Table79[Country2],Table79[[#This Row],[Country2]],Table79[Salary]),E64)</f>
        <v>78245</v>
      </c>
    </row>
    <row r="65" spans="1:15" x14ac:dyDescent="0.35">
      <c r="A65" s="61" t="s">
        <v>88</v>
      </c>
      <c r="B65" s="50" t="s">
        <v>164</v>
      </c>
      <c r="C65" s="50" t="s">
        <v>168</v>
      </c>
      <c r="D65" s="50" t="s">
        <v>173</v>
      </c>
      <c r="E65" s="65">
        <v>66079</v>
      </c>
      <c r="F65" s="51">
        <v>42561</v>
      </c>
      <c r="G65" s="50">
        <v>2</v>
      </c>
      <c r="H65" s="50" t="s">
        <v>302</v>
      </c>
      <c r="I65" s="52" t="s">
        <v>245</v>
      </c>
      <c r="J65" s="50" t="str">
        <f t="shared" si="4"/>
        <v>Chris Lee</v>
      </c>
      <c r="K65" s="50" t="str">
        <f t="shared" si="5"/>
        <v>Sales</v>
      </c>
      <c r="L65" s="50" t="str">
        <f t="shared" si="6"/>
        <v>USA</v>
      </c>
      <c r="M65" s="50" t="str">
        <f t="shared" si="7"/>
        <v>Male</v>
      </c>
      <c r="N65" s="65">
        <f>IF(E65="N/A",AVERAGEIF(Table79[Department],Table79[[#This Row],[Department]],Table79[Salary]),E65)</f>
        <v>66079</v>
      </c>
      <c r="O65" s="65">
        <f>IF(E65="N/A",AVERAGEIF(Table79[Country2],Table79[[#This Row],[Country2]],Table79[Salary]),E65)</f>
        <v>66079</v>
      </c>
    </row>
    <row r="66" spans="1:15" x14ac:dyDescent="0.35">
      <c r="A66" s="61" t="s">
        <v>90</v>
      </c>
      <c r="B66" s="50" t="s">
        <v>162</v>
      </c>
      <c r="C66" s="50" t="s">
        <v>168</v>
      </c>
      <c r="D66" s="50" t="s">
        <v>173</v>
      </c>
      <c r="E66" s="65">
        <v>95621</v>
      </c>
      <c r="F66" s="51">
        <v>42575</v>
      </c>
      <c r="G66" s="50">
        <v>3</v>
      </c>
      <c r="H66" s="50" t="s">
        <v>181</v>
      </c>
      <c r="I66" s="52" t="s">
        <v>246</v>
      </c>
      <c r="J66" s="50" t="str">
        <f t="shared" ref="J66:J97" si="8">IF(ISBLANK(B66),"UNKNOWN",B66)</f>
        <v>Jane Smith</v>
      </c>
      <c r="K66" s="50" t="str">
        <f t="shared" ref="K66:K100" si="9">IF(ISBLANK(C66),"Unknown",C66)</f>
        <v>Sales</v>
      </c>
      <c r="L66" s="50" t="str">
        <f t="shared" ref="L66:L100" si="10">IF(ISBLANK(D66),"unknown",D66)</f>
        <v>USA</v>
      </c>
      <c r="M66" s="50" t="str">
        <f t="shared" ref="M66:M100" si="11">PROPER(H66)</f>
        <v>Female</v>
      </c>
      <c r="N66" s="65">
        <f>IF(E66="N/A",AVERAGEIF(Table79[Department],Table79[[#This Row],[Department]],Table79[Salary]),E66)</f>
        <v>95621</v>
      </c>
      <c r="O66" s="65">
        <f>IF(E66="N/A",AVERAGEIF(Table79[Country2],Table79[[#This Row],[Country2]],Table79[Salary]),E66)</f>
        <v>95621</v>
      </c>
    </row>
    <row r="67" spans="1:15" x14ac:dyDescent="0.35">
      <c r="A67" s="61" t="s">
        <v>91</v>
      </c>
      <c r="B67" s="50" t="s">
        <v>159</v>
      </c>
      <c r="C67" s="50" t="s">
        <v>169</v>
      </c>
      <c r="D67" s="50" t="s">
        <v>175</v>
      </c>
      <c r="E67" s="65">
        <v>42262</v>
      </c>
      <c r="F67" s="51">
        <v>42582</v>
      </c>
      <c r="G67" s="50">
        <v>1</v>
      </c>
      <c r="H67" s="50" t="s">
        <v>180</v>
      </c>
      <c r="I67" s="52" t="s">
        <v>247</v>
      </c>
      <c r="J67" s="50" t="str">
        <f t="shared" si="8"/>
        <v>Eve Adams</v>
      </c>
      <c r="K67" s="50" t="str">
        <f t="shared" si="9"/>
        <v>IT</v>
      </c>
      <c r="L67" s="50" t="str">
        <f t="shared" si="10"/>
        <v>UK</v>
      </c>
      <c r="M67" s="50" t="str">
        <f t="shared" si="11"/>
        <v>Male</v>
      </c>
      <c r="N67" s="65">
        <f>IF(E67="N/A",AVERAGEIF(Table79[Department],Table79[[#This Row],[Department]],Table79[Salary]),E67)</f>
        <v>42262</v>
      </c>
      <c r="O67" s="65">
        <f>IF(E67="N/A",AVERAGEIF(Table79[Country2],Table79[[#This Row],[Country2]],Table79[Salary]),E67)</f>
        <v>42262</v>
      </c>
    </row>
    <row r="68" spans="1:15" x14ac:dyDescent="0.35">
      <c r="A68" s="61" t="s">
        <v>92</v>
      </c>
      <c r="B68" s="50" t="s">
        <v>163</v>
      </c>
      <c r="C68" s="50" t="s">
        <v>168</v>
      </c>
      <c r="D68" s="50" t="s">
        <v>174</v>
      </c>
      <c r="E68" s="65">
        <v>99621</v>
      </c>
      <c r="F68" s="51">
        <v>42589</v>
      </c>
      <c r="G68" s="50"/>
      <c r="H68" s="50" t="s">
        <v>302</v>
      </c>
      <c r="I68" s="52" t="s">
        <v>248</v>
      </c>
      <c r="J68" s="50" t="str">
        <f t="shared" si="8"/>
        <v>Sam Wilson</v>
      </c>
      <c r="K68" s="50" t="str">
        <f t="shared" si="9"/>
        <v>Sales</v>
      </c>
      <c r="L68" s="50" t="str">
        <f t="shared" si="10"/>
        <v>India</v>
      </c>
      <c r="M68" s="50" t="str">
        <f t="shared" si="11"/>
        <v>Male</v>
      </c>
      <c r="N68" s="65">
        <f>IF(E68="N/A",AVERAGEIF(Table79[Department],Table79[[#This Row],[Department]],Table79[Salary]),E68)</f>
        <v>99621</v>
      </c>
      <c r="O68" s="65">
        <f>IF(E68="N/A",AVERAGEIF(Table79[Country2],Table79[[#This Row],[Country2]],Table79[Salary]),E68)</f>
        <v>99621</v>
      </c>
    </row>
    <row r="69" spans="1:15" x14ac:dyDescent="0.35">
      <c r="A69" s="61" t="s">
        <v>94</v>
      </c>
      <c r="B69" s="50" t="s">
        <v>164</v>
      </c>
      <c r="C69" s="50" t="s">
        <v>166</v>
      </c>
      <c r="D69" s="50"/>
      <c r="E69" s="65">
        <v>35163</v>
      </c>
      <c r="F69" s="51">
        <v>42603</v>
      </c>
      <c r="G69" s="50">
        <v>5</v>
      </c>
      <c r="H69" s="50" t="s">
        <v>302</v>
      </c>
      <c r="I69" s="52" t="s">
        <v>249</v>
      </c>
      <c r="J69" s="50" t="str">
        <f t="shared" si="8"/>
        <v>Chris Lee</v>
      </c>
      <c r="K69" s="50" t="str">
        <f t="shared" si="9"/>
        <v>Finance</v>
      </c>
      <c r="L69" s="50" t="str">
        <f t="shared" si="10"/>
        <v>unknown</v>
      </c>
      <c r="M69" s="50" t="str">
        <f t="shared" si="11"/>
        <v>Male</v>
      </c>
      <c r="N69" s="65">
        <f>IF(E69="N/A",AVERAGEIF(Table79[Department],Table79[[#This Row],[Department]],Table79[Salary]),E69)</f>
        <v>35163</v>
      </c>
      <c r="O69" s="65">
        <f>IF(E69="N/A",AVERAGEIF(Table79[Country2],Table79[[#This Row],[Country2]],Table79[Salary]),E69)</f>
        <v>35163</v>
      </c>
    </row>
    <row r="70" spans="1:15" x14ac:dyDescent="0.35">
      <c r="A70" s="61" t="s">
        <v>95</v>
      </c>
      <c r="B70" s="50" t="s">
        <v>164</v>
      </c>
      <c r="C70" s="50" t="s">
        <v>169</v>
      </c>
      <c r="D70" s="50" t="s">
        <v>174</v>
      </c>
      <c r="E70" s="65">
        <v>33483</v>
      </c>
      <c r="F70" s="51">
        <v>42610</v>
      </c>
      <c r="G70" s="50">
        <v>4</v>
      </c>
      <c r="H70" s="50" t="s">
        <v>180</v>
      </c>
      <c r="I70" s="52" t="s">
        <v>250</v>
      </c>
      <c r="J70" s="50" t="str">
        <f t="shared" si="8"/>
        <v>Chris Lee</v>
      </c>
      <c r="K70" s="50" t="str">
        <f t="shared" si="9"/>
        <v>IT</v>
      </c>
      <c r="L70" s="50" t="str">
        <f t="shared" si="10"/>
        <v>India</v>
      </c>
      <c r="M70" s="50" t="str">
        <f t="shared" si="11"/>
        <v>Male</v>
      </c>
      <c r="N70" s="65">
        <f>IF(E70="N/A",AVERAGEIF(Table79[Department],Table79[[#This Row],[Department]],Table79[Salary]),E70)</f>
        <v>33483</v>
      </c>
      <c r="O70" s="65">
        <f>IF(E70="N/A",AVERAGEIF(Table79[Country2],Table79[[#This Row],[Country2]],Table79[Salary]),E70)</f>
        <v>33483</v>
      </c>
    </row>
    <row r="71" spans="1:15" x14ac:dyDescent="0.35">
      <c r="A71" s="61" t="s">
        <v>97</v>
      </c>
      <c r="B71" s="50" t="s">
        <v>164</v>
      </c>
      <c r="C71" s="50" t="s">
        <v>169</v>
      </c>
      <c r="D71" s="50"/>
      <c r="E71" s="65">
        <v>63434</v>
      </c>
      <c r="F71" s="51">
        <v>42624</v>
      </c>
      <c r="G71" s="50">
        <v>3</v>
      </c>
      <c r="H71" s="50" t="s">
        <v>180</v>
      </c>
      <c r="I71" s="52" t="s">
        <v>251</v>
      </c>
      <c r="J71" s="50" t="str">
        <f t="shared" si="8"/>
        <v>Chris Lee</v>
      </c>
      <c r="K71" s="50" t="str">
        <f t="shared" si="9"/>
        <v>IT</v>
      </c>
      <c r="L71" s="50" t="str">
        <f t="shared" si="10"/>
        <v>unknown</v>
      </c>
      <c r="M71" s="50" t="str">
        <f t="shared" si="11"/>
        <v>Male</v>
      </c>
      <c r="N71" s="65">
        <f>IF(E71="N/A",AVERAGEIF(Table79[Department],Table79[[#This Row],[Department]],Table79[Salary]),E71)</f>
        <v>63434</v>
      </c>
      <c r="O71" s="65">
        <f>IF(E71="N/A",AVERAGEIF(Table79[Country2],Table79[[#This Row],[Country2]],Table79[Salary]),E71)</f>
        <v>63434</v>
      </c>
    </row>
    <row r="72" spans="1:15" x14ac:dyDescent="0.35">
      <c r="A72" s="61" t="s">
        <v>102</v>
      </c>
      <c r="B72" s="50" t="s">
        <v>160</v>
      </c>
      <c r="C72" s="50"/>
      <c r="D72" s="50" t="s">
        <v>173</v>
      </c>
      <c r="E72" s="65">
        <v>76238</v>
      </c>
      <c r="F72" s="51">
        <v>42659</v>
      </c>
      <c r="G72" s="50">
        <v>4</v>
      </c>
      <c r="H72" s="50" t="s">
        <v>180</v>
      </c>
      <c r="I72" s="52" t="s">
        <v>252</v>
      </c>
      <c r="J72" s="50" t="str">
        <f t="shared" si="8"/>
        <v>Alice Brown</v>
      </c>
      <c r="K72" s="50" t="str">
        <f t="shared" si="9"/>
        <v>Unknown</v>
      </c>
      <c r="L72" s="50" t="str">
        <f t="shared" si="10"/>
        <v>USA</v>
      </c>
      <c r="M72" s="50" t="str">
        <f t="shared" si="11"/>
        <v>Male</v>
      </c>
      <c r="N72" s="69">
        <f>IF(E72="N/A",AVERAGEIF(Table79[Department],Table79[[#This Row],[Department]],Table79[Salary]),E72)</f>
        <v>76238</v>
      </c>
      <c r="O72" s="65">
        <f>IF(E72="N/A",AVERAGEIF(Table79[Country2],Table79[[#This Row],[Country2]],Table79[Salary]),E72)</f>
        <v>76238</v>
      </c>
    </row>
    <row r="73" spans="1:15" x14ac:dyDescent="0.35">
      <c r="A73" s="61" t="s">
        <v>103</v>
      </c>
      <c r="B73" s="50" t="s">
        <v>165</v>
      </c>
      <c r="C73" s="50" t="s">
        <v>169</v>
      </c>
      <c r="D73" s="50" t="s">
        <v>174</v>
      </c>
      <c r="E73" s="65">
        <v>33264</v>
      </c>
      <c r="F73" s="51">
        <v>42666</v>
      </c>
      <c r="G73" s="50"/>
      <c r="H73" s="50" t="s">
        <v>181</v>
      </c>
      <c r="I73" s="52" t="s">
        <v>253</v>
      </c>
      <c r="J73" s="50" t="str">
        <f t="shared" si="8"/>
        <v>Bob Johnson</v>
      </c>
      <c r="K73" s="50" t="str">
        <f t="shared" si="9"/>
        <v>IT</v>
      </c>
      <c r="L73" s="50" t="str">
        <f t="shared" si="10"/>
        <v>India</v>
      </c>
      <c r="M73" s="50" t="str">
        <f t="shared" si="11"/>
        <v>Female</v>
      </c>
      <c r="N73" s="65">
        <f>IF(E73="N/A",AVERAGEIF(Table79[Department],Table79[[#This Row],[Department]],Table79[Salary]),E73)</f>
        <v>33264</v>
      </c>
      <c r="O73" s="65">
        <f>IF(E73="N/A",AVERAGEIF(Table79[Country2],Table79[[#This Row],[Country2]],Table79[Salary]),E73)</f>
        <v>33264</v>
      </c>
    </row>
    <row r="74" spans="1:15" x14ac:dyDescent="0.35">
      <c r="A74" s="61" t="s">
        <v>104</v>
      </c>
      <c r="B74" s="50" t="s">
        <v>160</v>
      </c>
      <c r="C74" s="50" t="s">
        <v>166</v>
      </c>
      <c r="D74" s="50" t="s">
        <v>176</v>
      </c>
      <c r="E74" s="65">
        <v>96101</v>
      </c>
      <c r="F74" s="51">
        <v>42673</v>
      </c>
      <c r="G74" s="50"/>
      <c r="H74" s="50" t="s">
        <v>302</v>
      </c>
      <c r="I74" s="52" t="s">
        <v>254</v>
      </c>
      <c r="J74" s="50" t="str">
        <f t="shared" si="8"/>
        <v>Alice Brown</v>
      </c>
      <c r="K74" s="50" t="str">
        <f t="shared" si="9"/>
        <v>Finance</v>
      </c>
      <c r="L74" s="50" t="str">
        <f t="shared" si="10"/>
        <v>Australia</v>
      </c>
      <c r="M74" s="50" t="str">
        <f t="shared" si="11"/>
        <v>Male</v>
      </c>
      <c r="N74" s="65">
        <f>IF(E74="N/A",AVERAGEIF(Table79[Department],Table79[[#This Row],[Department]],Table79[Salary]),E74)</f>
        <v>96101</v>
      </c>
      <c r="O74" s="65">
        <f>IF(E74="N/A",AVERAGEIF(Table79[Country2],Table79[[#This Row],[Country2]],Table79[Salary]),E74)</f>
        <v>96101</v>
      </c>
    </row>
    <row r="75" spans="1:15" x14ac:dyDescent="0.35">
      <c r="A75" s="61" t="s">
        <v>105</v>
      </c>
      <c r="B75" s="50" t="s">
        <v>162</v>
      </c>
      <c r="C75" s="50" t="s">
        <v>166</v>
      </c>
      <c r="D75" s="50" t="s">
        <v>173</v>
      </c>
      <c r="E75" s="65">
        <v>72939</v>
      </c>
      <c r="F75" s="51">
        <v>42680</v>
      </c>
      <c r="G75" s="50">
        <v>3</v>
      </c>
      <c r="H75" s="50" t="s">
        <v>180</v>
      </c>
      <c r="I75" s="52" t="s">
        <v>255</v>
      </c>
      <c r="J75" s="50" t="str">
        <f t="shared" si="8"/>
        <v>Jane Smith</v>
      </c>
      <c r="K75" s="50" t="str">
        <f t="shared" si="9"/>
        <v>Finance</v>
      </c>
      <c r="L75" s="50" t="str">
        <f t="shared" si="10"/>
        <v>USA</v>
      </c>
      <c r="M75" s="50" t="str">
        <f t="shared" si="11"/>
        <v>Male</v>
      </c>
      <c r="N75" s="65">
        <f>IF(E75="N/A",AVERAGEIF(Table79[Department],Table79[[#This Row],[Department]],Table79[Salary]),E75)</f>
        <v>72939</v>
      </c>
      <c r="O75" s="65">
        <f>IF(E75="N/A",AVERAGEIF(Table79[Country2],Table79[[#This Row],[Country2]],Table79[Salary]),E75)</f>
        <v>72939</v>
      </c>
    </row>
    <row r="76" spans="1:15" x14ac:dyDescent="0.35">
      <c r="A76" s="61" t="s">
        <v>106</v>
      </c>
      <c r="B76" s="50" t="s">
        <v>163</v>
      </c>
      <c r="C76" s="50" t="s">
        <v>167</v>
      </c>
      <c r="D76" s="50" t="s">
        <v>172</v>
      </c>
      <c r="E76" s="65">
        <v>89333</v>
      </c>
      <c r="F76" s="51">
        <v>42687</v>
      </c>
      <c r="G76" s="50">
        <v>1</v>
      </c>
      <c r="H76" s="50" t="s">
        <v>180</v>
      </c>
      <c r="I76" s="52" t="s">
        <v>256</v>
      </c>
      <c r="J76" s="50" t="str">
        <f t="shared" si="8"/>
        <v>Sam Wilson</v>
      </c>
      <c r="K76" s="50" t="str">
        <f t="shared" si="9"/>
        <v>HR</v>
      </c>
      <c r="L76" s="50" t="str">
        <f t="shared" si="10"/>
        <v>Germany</v>
      </c>
      <c r="M76" s="50" t="str">
        <f t="shared" si="11"/>
        <v>Male</v>
      </c>
      <c r="N76" s="65">
        <f>IF(E76="N/A",AVERAGEIF(Table79[Department],Table79[[#This Row],[Department]],Table79[Salary]),E76)</f>
        <v>89333</v>
      </c>
      <c r="O76" s="65">
        <f>IF(E76="N/A",AVERAGEIF(Table79[Country2],Table79[[#This Row],[Country2]],Table79[Salary]),E76)</f>
        <v>89333</v>
      </c>
    </row>
    <row r="77" spans="1:15" x14ac:dyDescent="0.35">
      <c r="A77" s="61" t="s">
        <v>107</v>
      </c>
      <c r="B77" s="50" t="s">
        <v>165</v>
      </c>
      <c r="C77" s="50" t="s">
        <v>169</v>
      </c>
      <c r="D77" s="50" t="s">
        <v>176</v>
      </c>
      <c r="E77" s="65">
        <v>70470</v>
      </c>
      <c r="F77" s="51">
        <v>42694</v>
      </c>
      <c r="G77" s="50"/>
      <c r="H77" s="50" t="s">
        <v>180</v>
      </c>
      <c r="I77" s="52" t="s">
        <v>257</v>
      </c>
      <c r="J77" s="50" t="str">
        <f t="shared" si="8"/>
        <v>Bob Johnson</v>
      </c>
      <c r="K77" s="50" t="str">
        <f t="shared" si="9"/>
        <v>IT</v>
      </c>
      <c r="L77" s="50" t="str">
        <f t="shared" si="10"/>
        <v>Australia</v>
      </c>
      <c r="M77" s="50" t="str">
        <f t="shared" si="11"/>
        <v>Male</v>
      </c>
      <c r="N77" s="65">
        <f>IF(E77="N/A",AVERAGEIF(Table79[Department],Table79[[#This Row],[Department]],Table79[Salary]),E77)</f>
        <v>70470</v>
      </c>
      <c r="O77" s="65">
        <f>IF(E77="N/A",AVERAGEIF(Table79[Country2],Table79[[#This Row],[Country2]],Table79[Salary]),E77)</f>
        <v>70470</v>
      </c>
    </row>
    <row r="78" spans="1:15" x14ac:dyDescent="0.35">
      <c r="A78" s="61" t="s">
        <v>108</v>
      </c>
      <c r="B78" s="50" t="s">
        <v>159</v>
      </c>
      <c r="C78" s="50" t="s">
        <v>170</v>
      </c>
      <c r="D78" s="50" t="s">
        <v>173</v>
      </c>
      <c r="E78" s="65">
        <v>70096</v>
      </c>
      <c r="F78" s="51">
        <v>42701</v>
      </c>
      <c r="G78" s="50">
        <v>4</v>
      </c>
      <c r="H78" s="50" t="s">
        <v>180</v>
      </c>
      <c r="I78" s="52" t="s">
        <v>258</v>
      </c>
      <c r="J78" s="50" t="str">
        <f t="shared" si="8"/>
        <v>Eve Adams</v>
      </c>
      <c r="K78" s="50" t="str">
        <f t="shared" si="9"/>
        <v>Marketing</v>
      </c>
      <c r="L78" s="50" t="str">
        <f t="shared" si="10"/>
        <v>USA</v>
      </c>
      <c r="M78" s="50" t="str">
        <f t="shared" si="11"/>
        <v>Male</v>
      </c>
      <c r="N78" s="65">
        <f>IF(E78="N/A",AVERAGEIF(Table79[Department],Table79[[#This Row],[Department]],Table79[Salary]),E78)</f>
        <v>70096</v>
      </c>
      <c r="O78" s="65">
        <f>IF(E78="N/A",AVERAGEIF(Table79[Country2],Table79[[#This Row],[Country2]],Table79[Salary]),E78)</f>
        <v>70096</v>
      </c>
    </row>
    <row r="79" spans="1:15" x14ac:dyDescent="0.35">
      <c r="A79" s="61" t="s">
        <v>109</v>
      </c>
      <c r="B79" s="50" t="s">
        <v>165</v>
      </c>
      <c r="C79" s="50" t="s">
        <v>170</v>
      </c>
      <c r="D79" s="50" t="s">
        <v>171</v>
      </c>
      <c r="E79" s="65" t="s">
        <v>177</v>
      </c>
      <c r="F79" s="51">
        <v>42708</v>
      </c>
      <c r="G79" s="50">
        <v>2</v>
      </c>
      <c r="H79" s="50" t="s">
        <v>302</v>
      </c>
      <c r="I79" s="52" t="s">
        <v>259</v>
      </c>
      <c r="J79" s="50" t="str">
        <f t="shared" si="8"/>
        <v>Bob Johnson</v>
      </c>
      <c r="K79" s="50" t="str">
        <f t="shared" si="9"/>
        <v>Marketing</v>
      </c>
      <c r="L79" s="50" t="str">
        <f t="shared" si="10"/>
        <v xml:space="preserve"> </v>
      </c>
      <c r="M79" s="50" t="str">
        <f t="shared" si="11"/>
        <v>Male</v>
      </c>
      <c r="N79" s="65">
        <f>IF(E79="N/A",AVERAGEIF(Table79[Department],Table79[[#This Row],[Department]],Table79[Salary]),E79)</f>
        <v>66344</v>
      </c>
      <c r="O79" s="65">
        <f>IF(E79="N/A",AVERAGEIF(Table79[Country2],Table79[[#This Row],[Country2]],Table79[Salary]),E79)</f>
        <v>67279.75</v>
      </c>
    </row>
    <row r="80" spans="1:15" x14ac:dyDescent="0.35">
      <c r="A80" s="61" t="s">
        <v>111</v>
      </c>
      <c r="B80" s="50" t="s">
        <v>160</v>
      </c>
      <c r="C80" s="50" t="s">
        <v>167</v>
      </c>
      <c r="D80" s="50" t="s">
        <v>172</v>
      </c>
      <c r="E80" s="65">
        <v>42096</v>
      </c>
      <c r="F80" s="51">
        <v>42722</v>
      </c>
      <c r="G80" s="50"/>
      <c r="H80" s="50" t="s">
        <v>181</v>
      </c>
      <c r="I80" s="52" t="s">
        <v>260</v>
      </c>
      <c r="J80" s="50" t="str">
        <f t="shared" si="8"/>
        <v>Alice Brown</v>
      </c>
      <c r="K80" s="50" t="str">
        <f t="shared" si="9"/>
        <v>HR</v>
      </c>
      <c r="L80" s="50" t="str">
        <f t="shared" si="10"/>
        <v>Germany</v>
      </c>
      <c r="M80" s="50" t="str">
        <f t="shared" si="11"/>
        <v>Female</v>
      </c>
      <c r="N80" s="65">
        <f>IF(E80="N/A",AVERAGEIF(Table79[Department],Table79[[#This Row],[Department]],Table79[Salary]),E80)</f>
        <v>42096</v>
      </c>
      <c r="O80" s="65">
        <f>IF(E80="N/A",AVERAGEIF(Table79[Country2],Table79[[#This Row],[Country2]],Table79[Salary]),E80)</f>
        <v>42096</v>
      </c>
    </row>
    <row r="81" spans="1:15" x14ac:dyDescent="0.35">
      <c r="A81" s="61" t="s">
        <v>115</v>
      </c>
      <c r="B81" s="50" t="s">
        <v>159</v>
      </c>
      <c r="C81" s="50" t="s">
        <v>169</v>
      </c>
      <c r="D81" s="50"/>
      <c r="E81" s="65">
        <v>48325</v>
      </c>
      <c r="F81" s="51">
        <v>42750</v>
      </c>
      <c r="G81" s="50"/>
      <c r="H81" s="50" t="s">
        <v>180</v>
      </c>
      <c r="I81" s="52" t="s">
        <v>261</v>
      </c>
      <c r="J81" s="50" t="str">
        <f t="shared" si="8"/>
        <v>Eve Adams</v>
      </c>
      <c r="K81" s="50" t="str">
        <f t="shared" si="9"/>
        <v>IT</v>
      </c>
      <c r="L81" s="50" t="str">
        <f t="shared" si="10"/>
        <v>unknown</v>
      </c>
      <c r="M81" s="50" t="str">
        <f t="shared" si="11"/>
        <v>Male</v>
      </c>
      <c r="N81" s="65">
        <f>IF(E81="N/A",AVERAGEIF(Table79[Department],Table79[[#This Row],[Department]],Table79[Salary]),E81)</f>
        <v>48325</v>
      </c>
      <c r="O81" s="65">
        <f>IF(E81="N/A",AVERAGEIF(Table79[Country2],Table79[[#This Row],[Country2]],Table79[Salary]),E81)</f>
        <v>48325</v>
      </c>
    </row>
    <row r="82" spans="1:15" x14ac:dyDescent="0.35">
      <c r="A82" s="61" t="s">
        <v>117</v>
      </c>
      <c r="B82" s="50" t="s">
        <v>163</v>
      </c>
      <c r="C82" s="50" t="s">
        <v>167</v>
      </c>
      <c r="D82" s="50"/>
      <c r="E82" s="65">
        <v>66761</v>
      </c>
      <c r="F82" s="51">
        <v>42764</v>
      </c>
      <c r="G82" s="50">
        <v>1</v>
      </c>
      <c r="H82" s="50" t="s">
        <v>180</v>
      </c>
      <c r="I82" s="52" t="s">
        <v>262</v>
      </c>
      <c r="J82" s="50" t="str">
        <f t="shared" si="8"/>
        <v>Sam Wilson</v>
      </c>
      <c r="K82" s="50" t="str">
        <f t="shared" si="9"/>
        <v>HR</v>
      </c>
      <c r="L82" s="50" t="str">
        <f t="shared" si="10"/>
        <v>unknown</v>
      </c>
      <c r="M82" s="50" t="str">
        <f t="shared" si="11"/>
        <v>Male</v>
      </c>
      <c r="N82" s="65">
        <f>IF(E82="N/A",AVERAGEIF(Table79[Department],Table79[[#This Row],[Department]],Table79[Salary]),E82)</f>
        <v>66761</v>
      </c>
      <c r="O82" s="65">
        <f>IF(E82="N/A",AVERAGEIF(Table79[Country2],Table79[[#This Row],[Country2]],Table79[Salary]),E82)</f>
        <v>66761</v>
      </c>
    </row>
    <row r="83" spans="1:15" x14ac:dyDescent="0.35">
      <c r="A83" s="61" t="s">
        <v>118</v>
      </c>
      <c r="B83" s="50" t="s">
        <v>162</v>
      </c>
      <c r="C83" s="50"/>
      <c r="D83" s="50" t="s">
        <v>174</v>
      </c>
      <c r="E83" s="65">
        <v>88850</v>
      </c>
      <c r="F83" s="51">
        <v>42771</v>
      </c>
      <c r="G83" s="50">
        <v>1</v>
      </c>
      <c r="H83" s="50" t="s">
        <v>181</v>
      </c>
      <c r="I83" s="52" t="s">
        <v>263</v>
      </c>
      <c r="J83" s="50" t="str">
        <f t="shared" si="8"/>
        <v>Jane Smith</v>
      </c>
      <c r="K83" s="50" t="str">
        <f t="shared" si="9"/>
        <v>Unknown</v>
      </c>
      <c r="L83" s="50" t="str">
        <f t="shared" si="10"/>
        <v>India</v>
      </c>
      <c r="M83" s="50" t="str">
        <f t="shared" si="11"/>
        <v>Female</v>
      </c>
      <c r="N83" s="65">
        <f>IF(E83="N/A",AVERAGEIF(Table79[Department],Table79[[#This Row],[Department]],Table79[Salary]),E83)</f>
        <v>88850</v>
      </c>
      <c r="O83" s="65">
        <f>IF(E83="N/A",AVERAGEIF(Table79[Country2],Table79[[#This Row],[Country2]],Table79[Salary]),E83)</f>
        <v>88850</v>
      </c>
    </row>
    <row r="84" spans="1:15" x14ac:dyDescent="0.35">
      <c r="A84" s="61" t="s">
        <v>119</v>
      </c>
      <c r="B84" s="50" t="s">
        <v>164</v>
      </c>
      <c r="C84" s="50" t="s">
        <v>168</v>
      </c>
      <c r="D84" s="50" t="s">
        <v>174</v>
      </c>
      <c r="E84" s="65">
        <v>31293</v>
      </c>
      <c r="F84" s="50"/>
      <c r="G84" s="50">
        <v>2</v>
      </c>
      <c r="H84" s="50" t="s">
        <v>181</v>
      </c>
      <c r="I84" s="52" t="s">
        <v>264</v>
      </c>
      <c r="J84" s="50" t="str">
        <f t="shared" si="8"/>
        <v>Chris Lee</v>
      </c>
      <c r="K84" s="50" t="str">
        <f t="shared" si="9"/>
        <v>Sales</v>
      </c>
      <c r="L84" s="50" t="str">
        <f t="shared" si="10"/>
        <v>India</v>
      </c>
      <c r="M84" s="50" t="str">
        <f t="shared" si="11"/>
        <v>Female</v>
      </c>
      <c r="N84" s="65">
        <f>IF(E84="N/A",AVERAGEIF(Table79[Department],Table79[[#This Row],[Department]],Table79[Salary]),E84)</f>
        <v>31293</v>
      </c>
      <c r="O84" s="65">
        <f>IF(E84="N/A",AVERAGEIF(Table79[Country2],Table79[[#This Row],[Country2]],Table79[Salary]),E84)</f>
        <v>31293</v>
      </c>
    </row>
    <row r="85" spans="1:15" x14ac:dyDescent="0.35">
      <c r="A85" s="61" t="s">
        <v>122</v>
      </c>
      <c r="B85" s="50" t="s">
        <v>160</v>
      </c>
      <c r="C85" s="50" t="s">
        <v>169</v>
      </c>
      <c r="D85" s="50" t="s">
        <v>173</v>
      </c>
      <c r="E85" s="65">
        <v>47653</v>
      </c>
      <c r="F85" s="51">
        <v>42799</v>
      </c>
      <c r="G85" s="50">
        <v>1</v>
      </c>
      <c r="H85" s="50" t="s">
        <v>180</v>
      </c>
      <c r="I85" s="52" t="s">
        <v>265</v>
      </c>
      <c r="J85" s="50" t="str">
        <f t="shared" si="8"/>
        <v>Alice Brown</v>
      </c>
      <c r="K85" s="50" t="str">
        <f t="shared" si="9"/>
        <v>IT</v>
      </c>
      <c r="L85" s="50" t="str">
        <f t="shared" si="10"/>
        <v>USA</v>
      </c>
      <c r="M85" s="50" t="str">
        <f t="shared" si="11"/>
        <v>Male</v>
      </c>
      <c r="N85" s="65">
        <f>IF(E85="N/A",AVERAGEIF(Table79[Department],Table79[[#This Row],[Department]],Table79[Salary]),E85)</f>
        <v>47653</v>
      </c>
      <c r="O85" s="65">
        <f>IF(E85="N/A",AVERAGEIF(Table79[Country2],Table79[[#This Row],[Country2]],Table79[Salary]),E85)</f>
        <v>47653</v>
      </c>
    </row>
    <row r="86" spans="1:15" x14ac:dyDescent="0.35">
      <c r="A86" s="61" t="s">
        <v>126</v>
      </c>
      <c r="B86" s="50" t="s">
        <v>165</v>
      </c>
      <c r="C86" s="50" t="s">
        <v>170</v>
      </c>
      <c r="D86" s="50"/>
      <c r="E86" s="65">
        <v>73483</v>
      </c>
      <c r="F86" s="51">
        <v>42827</v>
      </c>
      <c r="G86" s="50">
        <v>1</v>
      </c>
      <c r="H86" s="50" t="s">
        <v>180</v>
      </c>
      <c r="I86" s="52" t="s">
        <v>266</v>
      </c>
      <c r="J86" s="50" t="str">
        <f t="shared" si="8"/>
        <v>Bob Johnson</v>
      </c>
      <c r="K86" s="50" t="str">
        <f t="shared" si="9"/>
        <v>Marketing</v>
      </c>
      <c r="L86" s="50" t="str">
        <f t="shared" si="10"/>
        <v>unknown</v>
      </c>
      <c r="M86" s="50" t="str">
        <f t="shared" si="11"/>
        <v>Male</v>
      </c>
      <c r="N86" s="65">
        <f>IF(E86="N/A",AVERAGEIF(Table79[Department],Table79[[#This Row],[Department]],Table79[Salary]),E86)</f>
        <v>73483</v>
      </c>
      <c r="O86" s="65">
        <f>IF(E86="N/A",AVERAGEIF(Table79[Country2],Table79[[#This Row],[Country2]],Table79[Salary]),E86)</f>
        <v>73483</v>
      </c>
    </row>
    <row r="87" spans="1:15" x14ac:dyDescent="0.35">
      <c r="A87" s="61" t="s">
        <v>127</v>
      </c>
      <c r="B87" s="50" t="s">
        <v>164</v>
      </c>
      <c r="C87" s="50" t="s">
        <v>168</v>
      </c>
      <c r="D87" s="50" t="s">
        <v>174</v>
      </c>
      <c r="E87" s="65">
        <v>95032</v>
      </c>
      <c r="F87" s="51">
        <v>42834</v>
      </c>
      <c r="G87" s="50">
        <v>3</v>
      </c>
      <c r="H87" s="50" t="s">
        <v>180</v>
      </c>
      <c r="I87" s="52" t="s">
        <v>267</v>
      </c>
      <c r="J87" s="50" t="str">
        <f t="shared" si="8"/>
        <v>Chris Lee</v>
      </c>
      <c r="K87" s="50" t="str">
        <f t="shared" si="9"/>
        <v>Sales</v>
      </c>
      <c r="L87" s="50" t="str">
        <f t="shared" si="10"/>
        <v>India</v>
      </c>
      <c r="M87" s="50" t="str">
        <f t="shared" si="11"/>
        <v>Male</v>
      </c>
      <c r="N87" s="65">
        <f>IF(E87="N/A",AVERAGEIF(Table79[Department],Table79[[#This Row],[Department]],Table79[Salary]),E87)</f>
        <v>95032</v>
      </c>
      <c r="O87" s="65">
        <f>IF(E87="N/A",AVERAGEIF(Table79[Country2],Table79[[#This Row],[Country2]],Table79[Salary]),E87)</f>
        <v>95032</v>
      </c>
    </row>
    <row r="88" spans="1:15" x14ac:dyDescent="0.35">
      <c r="A88" s="61" t="s">
        <v>129</v>
      </c>
      <c r="B88" s="50"/>
      <c r="C88" s="50" t="s">
        <v>169</v>
      </c>
      <c r="D88" s="50" t="s">
        <v>173</v>
      </c>
      <c r="E88" s="65" t="s">
        <v>177</v>
      </c>
      <c r="F88" s="50"/>
      <c r="G88" s="50">
        <v>5</v>
      </c>
      <c r="H88" s="50" t="s">
        <v>178</v>
      </c>
      <c r="I88" s="52" t="s">
        <v>268</v>
      </c>
      <c r="J88" s="50" t="str">
        <f t="shared" si="8"/>
        <v>UNKNOWN</v>
      </c>
      <c r="K88" s="50" t="str">
        <f t="shared" si="9"/>
        <v>IT</v>
      </c>
      <c r="L88" s="50" t="str">
        <f t="shared" si="10"/>
        <v>USA</v>
      </c>
      <c r="M88" s="50" t="str">
        <f t="shared" si="11"/>
        <v>Unknown</v>
      </c>
      <c r="N88" s="65">
        <f>IF(E88="N/A",AVERAGEIF(Table79[Department],Table79[[#This Row],[Department]],Table79[Salary]),E88)</f>
        <v>66636.333333333328</v>
      </c>
      <c r="O88" s="65">
        <f>IF(E88="N/A",AVERAGEIF(Table79[Country2],Table79[[#This Row],[Country2]],Table79[Salary]),E88)</f>
        <v>69408.5625</v>
      </c>
    </row>
    <row r="89" spans="1:15" x14ac:dyDescent="0.35">
      <c r="A89" s="61" t="s">
        <v>130</v>
      </c>
      <c r="B89" s="50" t="s">
        <v>164</v>
      </c>
      <c r="C89" s="50" t="s">
        <v>168</v>
      </c>
      <c r="D89" s="50" t="s">
        <v>173</v>
      </c>
      <c r="E89" s="65">
        <v>45676</v>
      </c>
      <c r="F89" s="51">
        <v>42855</v>
      </c>
      <c r="G89" s="50">
        <v>2</v>
      </c>
      <c r="H89" s="50" t="s">
        <v>180</v>
      </c>
      <c r="I89" s="52" t="s">
        <v>269</v>
      </c>
      <c r="J89" s="50" t="str">
        <f t="shared" si="8"/>
        <v>Chris Lee</v>
      </c>
      <c r="K89" s="50" t="str">
        <f t="shared" si="9"/>
        <v>Sales</v>
      </c>
      <c r="L89" s="50" t="str">
        <f t="shared" si="10"/>
        <v>USA</v>
      </c>
      <c r="M89" s="50" t="str">
        <f t="shared" si="11"/>
        <v>Male</v>
      </c>
      <c r="N89" s="65">
        <f>IF(E89="N/A",AVERAGEIF(Table79[Department],Table79[[#This Row],[Department]],Table79[Salary]),E89)</f>
        <v>45676</v>
      </c>
      <c r="O89" s="65">
        <f>IF(E89="N/A",AVERAGEIF(Table79[Country2],Table79[[#This Row],[Country2]],Table79[Salary]),E89)</f>
        <v>45676</v>
      </c>
    </row>
    <row r="90" spans="1:15" x14ac:dyDescent="0.35">
      <c r="A90" s="61" t="s">
        <v>131</v>
      </c>
      <c r="B90" s="50" t="s">
        <v>165</v>
      </c>
      <c r="C90" s="50" t="s">
        <v>168</v>
      </c>
      <c r="D90" s="50" t="s">
        <v>172</v>
      </c>
      <c r="E90" s="65">
        <v>52036</v>
      </c>
      <c r="F90" s="51">
        <v>42862</v>
      </c>
      <c r="G90" s="50">
        <v>3</v>
      </c>
      <c r="H90" s="50" t="s">
        <v>180</v>
      </c>
      <c r="I90" s="52" t="s">
        <v>270</v>
      </c>
      <c r="J90" s="50" t="str">
        <f t="shared" si="8"/>
        <v>Bob Johnson</v>
      </c>
      <c r="K90" s="50" t="str">
        <f t="shared" si="9"/>
        <v>Sales</v>
      </c>
      <c r="L90" s="50" t="str">
        <f t="shared" si="10"/>
        <v>Germany</v>
      </c>
      <c r="M90" s="50" t="str">
        <f t="shared" si="11"/>
        <v>Male</v>
      </c>
      <c r="N90" s="65">
        <f>IF(E90="N/A",AVERAGEIF(Table79[Department],Table79[[#This Row],[Department]],Table79[Salary]),E90)</f>
        <v>52036</v>
      </c>
      <c r="O90" s="65">
        <f>IF(E90="N/A",AVERAGEIF(Table79[Country2],Table79[[#This Row],[Country2]],Table79[Salary]),E90)</f>
        <v>52036</v>
      </c>
    </row>
    <row r="91" spans="1:15" x14ac:dyDescent="0.35">
      <c r="A91" s="61" t="s">
        <v>133</v>
      </c>
      <c r="B91" s="50" t="s">
        <v>161</v>
      </c>
      <c r="C91" s="50" t="s">
        <v>169</v>
      </c>
      <c r="D91" s="50"/>
      <c r="E91" s="65">
        <v>60034</v>
      </c>
      <c r="F91" s="51">
        <v>42876</v>
      </c>
      <c r="G91" s="50">
        <v>1</v>
      </c>
      <c r="H91" s="50" t="s">
        <v>181</v>
      </c>
      <c r="I91" s="52" t="s">
        <v>271</v>
      </c>
      <c r="J91" s="50" t="str">
        <f t="shared" si="8"/>
        <v>John Doe</v>
      </c>
      <c r="K91" s="50" t="str">
        <f t="shared" si="9"/>
        <v>IT</v>
      </c>
      <c r="L91" s="50" t="str">
        <f t="shared" si="10"/>
        <v>unknown</v>
      </c>
      <c r="M91" s="50" t="str">
        <f t="shared" si="11"/>
        <v>Female</v>
      </c>
      <c r="N91" s="65">
        <f>IF(E91="N/A",AVERAGEIF(Table79[Department],Table79[[#This Row],[Department]],Table79[Salary]),E91)</f>
        <v>60034</v>
      </c>
      <c r="O91" s="65">
        <f>IF(E91="N/A",AVERAGEIF(Table79[Country2],Table79[[#This Row],[Country2]],Table79[Salary]),E91)</f>
        <v>60034</v>
      </c>
    </row>
    <row r="92" spans="1:15" x14ac:dyDescent="0.35">
      <c r="A92" s="61" t="s">
        <v>134</v>
      </c>
      <c r="B92" s="50" t="s">
        <v>161</v>
      </c>
      <c r="C92" s="50" t="s">
        <v>166</v>
      </c>
      <c r="D92" s="50" t="s">
        <v>171</v>
      </c>
      <c r="E92" s="65">
        <v>90019</v>
      </c>
      <c r="F92" s="51">
        <v>42883</v>
      </c>
      <c r="G92" s="50">
        <v>5</v>
      </c>
      <c r="H92" s="50" t="s">
        <v>180</v>
      </c>
      <c r="I92" s="52" t="s">
        <v>272</v>
      </c>
      <c r="J92" s="50" t="str">
        <f t="shared" si="8"/>
        <v>John Doe</v>
      </c>
      <c r="K92" s="50" t="str">
        <f t="shared" si="9"/>
        <v>Finance</v>
      </c>
      <c r="L92" s="50" t="str">
        <f t="shared" si="10"/>
        <v xml:space="preserve"> </v>
      </c>
      <c r="M92" s="50" t="str">
        <f t="shared" si="11"/>
        <v>Male</v>
      </c>
      <c r="N92" s="65">
        <f>IF(E92="N/A",AVERAGEIF(Table79[Department],Table79[[#This Row],[Department]],Table79[Salary]),E92)</f>
        <v>90019</v>
      </c>
      <c r="O92" s="65">
        <f>IF(E92="N/A",AVERAGEIF(Table79[Country2],Table79[[#This Row],[Country2]],Table79[Salary]),E92)</f>
        <v>90019</v>
      </c>
    </row>
    <row r="93" spans="1:15" x14ac:dyDescent="0.35">
      <c r="A93" s="61" t="s">
        <v>135</v>
      </c>
      <c r="B93" s="50" t="s">
        <v>165</v>
      </c>
      <c r="C93" s="50"/>
      <c r="D93" s="50" t="s">
        <v>172</v>
      </c>
      <c r="E93" s="65">
        <v>71494</v>
      </c>
      <c r="F93" s="51">
        <v>42890</v>
      </c>
      <c r="G93" s="50">
        <v>3</v>
      </c>
      <c r="H93" s="50" t="s">
        <v>180</v>
      </c>
      <c r="I93" s="52" t="s">
        <v>273</v>
      </c>
      <c r="J93" s="50" t="str">
        <f t="shared" si="8"/>
        <v>Bob Johnson</v>
      </c>
      <c r="K93" s="50" t="str">
        <f t="shared" si="9"/>
        <v>Unknown</v>
      </c>
      <c r="L93" s="50" t="str">
        <f t="shared" si="10"/>
        <v>Germany</v>
      </c>
      <c r="M93" s="50" t="str">
        <f t="shared" si="11"/>
        <v>Male</v>
      </c>
      <c r="N93" s="65">
        <f>IF(E93="N/A",AVERAGEIF(Table79[Department],Table79[[#This Row],[Department]],Table79[Salary]),E93)</f>
        <v>71494</v>
      </c>
      <c r="O93" s="65">
        <f>IF(E93="N/A",AVERAGEIF(Table79[Country2],Table79[[#This Row],[Country2]],Table79[Salary]),E93)</f>
        <v>71494</v>
      </c>
    </row>
    <row r="94" spans="1:15" x14ac:dyDescent="0.35">
      <c r="A94" s="61" t="s">
        <v>137</v>
      </c>
      <c r="B94" s="50" t="s">
        <v>164</v>
      </c>
      <c r="C94" s="50" t="s">
        <v>168</v>
      </c>
      <c r="D94" s="50" t="s">
        <v>173</v>
      </c>
      <c r="E94" s="65">
        <v>30402</v>
      </c>
      <c r="F94" s="51">
        <v>42904</v>
      </c>
      <c r="G94" s="50">
        <v>1</v>
      </c>
      <c r="H94" s="50" t="s">
        <v>180</v>
      </c>
      <c r="I94" s="52" t="s">
        <v>274</v>
      </c>
      <c r="J94" s="50" t="str">
        <f t="shared" si="8"/>
        <v>Chris Lee</v>
      </c>
      <c r="K94" s="50" t="str">
        <f t="shared" si="9"/>
        <v>Sales</v>
      </c>
      <c r="L94" s="50" t="str">
        <f t="shared" si="10"/>
        <v>USA</v>
      </c>
      <c r="M94" s="50" t="str">
        <f t="shared" si="11"/>
        <v>Male</v>
      </c>
      <c r="N94" s="65">
        <f>IF(E94="N/A",AVERAGEIF(Table79[Department],Table79[[#This Row],[Department]],Table79[Salary]),E94)</f>
        <v>30402</v>
      </c>
      <c r="O94" s="65">
        <f>IF(E94="N/A",AVERAGEIF(Table79[Country2],Table79[[#This Row],[Country2]],Table79[Salary]),E94)</f>
        <v>30402</v>
      </c>
    </row>
    <row r="95" spans="1:15" x14ac:dyDescent="0.35">
      <c r="A95" s="61" t="s">
        <v>141</v>
      </c>
      <c r="B95" s="50" t="s">
        <v>159</v>
      </c>
      <c r="C95" s="50" t="s">
        <v>167</v>
      </c>
      <c r="D95" s="50" t="s">
        <v>173</v>
      </c>
      <c r="E95" s="65">
        <v>38678</v>
      </c>
      <c r="F95" s="51">
        <v>42932</v>
      </c>
      <c r="G95" s="50">
        <v>3</v>
      </c>
      <c r="H95" s="50" t="s">
        <v>302</v>
      </c>
      <c r="I95" s="52" t="s">
        <v>275</v>
      </c>
      <c r="J95" s="50" t="str">
        <f t="shared" si="8"/>
        <v>Eve Adams</v>
      </c>
      <c r="K95" s="50" t="str">
        <f t="shared" si="9"/>
        <v>HR</v>
      </c>
      <c r="L95" s="50" t="str">
        <f t="shared" si="10"/>
        <v>USA</v>
      </c>
      <c r="M95" s="50" t="str">
        <f t="shared" si="11"/>
        <v>Male</v>
      </c>
      <c r="N95" s="65">
        <f>IF(E95="N/A",AVERAGEIF(Table79[Department],Table79[[#This Row],[Department]],Table79[Salary]),E95)</f>
        <v>38678</v>
      </c>
      <c r="O95" s="65">
        <f>IF(E95="N/A",AVERAGEIF(Table79[Country2],Table79[[#This Row],[Country2]],Table79[Salary]),E95)</f>
        <v>38678</v>
      </c>
    </row>
    <row r="96" spans="1:15" x14ac:dyDescent="0.35">
      <c r="A96" s="61" t="s">
        <v>146</v>
      </c>
      <c r="B96" s="50" t="s">
        <v>164</v>
      </c>
      <c r="C96" s="50" t="s">
        <v>167</v>
      </c>
      <c r="D96" s="50" t="s">
        <v>172</v>
      </c>
      <c r="E96" s="65">
        <v>84968</v>
      </c>
      <c r="F96" s="51">
        <v>42967</v>
      </c>
      <c r="G96" s="50"/>
      <c r="H96" s="50" t="s">
        <v>180</v>
      </c>
      <c r="I96" s="52" t="s">
        <v>276</v>
      </c>
      <c r="J96" s="50" t="str">
        <f t="shared" si="8"/>
        <v>Chris Lee</v>
      </c>
      <c r="K96" s="50" t="str">
        <f t="shared" si="9"/>
        <v>HR</v>
      </c>
      <c r="L96" s="50" t="str">
        <f t="shared" si="10"/>
        <v>Germany</v>
      </c>
      <c r="M96" s="50" t="str">
        <f t="shared" si="11"/>
        <v>Male</v>
      </c>
      <c r="N96" s="65">
        <f>IF(E96="N/A",AVERAGEIF(Table79[Department],Table79[[#This Row],[Department]],Table79[Salary]),E96)</f>
        <v>84968</v>
      </c>
      <c r="O96" s="65">
        <f>IF(E96="N/A",AVERAGEIF(Table79[Country2],Table79[[#This Row],[Country2]],Table79[Salary]),E96)</f>
        <v>84968</v>
      </c>
    </row>
    <row r="97" spans="1:15" x14ac:dyDescent="0.35">
      <c r="A97" s="61" t="s">
        <v>152</v>
      </c>
      <c r="B97" s="50" t="s">
        <v>164</v>
      </c>
      <c r="C97" s="50" t="s">
        <v>168</v>
      </c>
      <c r="D97" s="50" t="s">
        <v>175</v>
      </c>
      <c r="E97" s="65">
        <v>91620</v>
      </c>
      <c r="F97" s="51">
        <v>43009</v>
      </c>
      <c r="G97" s="50"/>
      <c r="H97" s="50" t="s">
        <v>180</v>
      </c>
      <c r="I97" s="52" t="s">
        <v>277</v>
      </c>
      <c r="J97" s="50" t="str">
        <f t="shared" si="8"/>
        <v>Chris Lee</v>
      </c>
      <c r="K97" s="50" t="str">
        <f t="shared" si="9"/>
        <v>Sales</v>
      </c>
      <c r="L97" s="50" t="str">
        <f t="shared" si="10"/>
        <v>UK</v>
      </c>
      <c r="M97" s="50" t="str">
        <f t="shared" si="11"/>
        <v>Male</v>
      </c>
      <c r="N97" s="65">
        <f>IF(E97="N/A",AVERAGEIF(Table79[Department],Table79[[#This Row],[Department]],Table79[Salary]),E97)</f>
        <v>91620</v>
      </c>
      <c r="O97" s="65">
        <f>IF(E97="N/A",AVERAGEIF(Table79[Country2],Table79[[#This Row],[Country2]],Table79[Salary]),E97)</f>
        <v>91620</v>
      </c>
    </row>
    <row r="98" spans="1:15" x14ac:dyDescent="0.35">
      <c r="A98" s="61" t="s">
        <v>153</v>
      </c>
      <c r="B98" s="50" t="s">
        <v>159</v>
      </c>
      <c r="C98" s="50"/>
      <c r="D98" s="50"/>
      <c r="E98" s="65">
        <v>94148</v>
      </c>
      <c r="F98" s="51">
        <v>43016</v>
      </c>
      <c r="G98" s="50">
        <v>2</v>
      </c>
      <c r="H98" s="50" t="s">
        <v>180</v>
      </c>
      <c r="I98" s="52" t="s">
        <v>278</v>
      </c>
      <c r="J98" s="50" t="str">
        <f t="shared" ref="J98:J100" si="12">IF(ISBLANK(B98),"UNKNOWN",B98)</f>
        <v>Eve Adams</v>
      </c>
      <c r="K98" s="50" t="str">
        <f t="shared" si="9"/>
        <v>Unknown</v>
      </c>
      <c r="L98" s="50" t="str">
        <f t="shared" si="10"/>
        <v>unknown</v>
      </c>
      <c r="M98" s="50" t="str">
        <f t="shared" si="11"/>
        <v>Male</v>
      </c>
      <c r="N98" s="65">
        <f>IF(E98="N/A",AVERAGEIF(Table79[Department],Table79[[#This Row],[Department]],Table79[Salary]),E98)</f>
        <v>94148</v>
      </c>
      <c r="O98" s="65">
        <f>IF(E98="N/A",AVERAGEIF(Table79[Country2],Table79[[#This Row],[Country2]],Table79[Salary]),E98)</f>
        <v>94148</v>
      </c>
    </row>
    <row r="99" spans="1:15" x14ac:dyDescent="0.35">
      <c r="A99" s="61" t="s">
        <v>156</v>
      </c>
      <c r="B99" s="50" t="s">
        <v>165</v>
      </c>
      <c r="C99" s="50" t="s">
        <v>168</v>
      </c>
      <c r="D99" s="50" t="s">
        <v>176</v>
      </c>
      <c r="E99" s="65">
        <v>65270</v>
      </c>
      <c r="F99" s="51">
        <v>43037</v>
      </c>
      <c r="G99" s="50">
        <v>1</v>
      </c>
      <c r="H99" s="50" t="s">
        <v>180</v>
      </c>
      <c r="I99" s="52" t="s">
        <v>279</v>
      </c>
      <c r="J99" s="50" t="str">
        <f t="shared" si="12"/>
        <v>Bob Johnson</v>
      </c>
      <c r="K99" s="50" t="str">
        <f t="shared" si="9"/>
        <v>Sales</v>
      </c>
      <c r="L99" s="50" t="str">
        <f t="shared" si="10"/>
        <v>Australia</v>
      </c>
      <c r="M99" s="50" t="str">
        <f t="shared" si="11"/>
        <v>Male</v>
      </c>
      <c r="N99" s="65">
        <f>IF(E99="N/A",AVERAGEIF(Table79[Department],Table79[[#This Row],[Department]],Table79[Salary]),E99)</f>
        <v>65270</v>
      </c>
      <c r="O99" s="65">
        <f>IF(E99="N/A",AVERAGEIF(Table79[Country2],Table79[[#This Row],[Country2]],Table79[Salary]),E99)</f>
        <v>65270</v>
      </c>
    </row>
    <row r="100" spans="1:15" x14ac:dyDescent="0.35">
      <c r="A100" s="61" t="s">
        <v>158</v>
      </c>
      <c r="B100" s="50" t="s">
        <v>163</v>
      </c>
      <c r="C100" s="50" t="s">
        <v>170</v>
      </c>
      <c r="D100" s="50" t="s">
        <v>174</v>
      </c>
      <c r="E100" s="65">
        <v>98475</v>
      </c>
      <c r="F100" s="51">
        <v>43051</v>
      </c>
      <c r="G100" s="50">
        <v>5</v>
      </c>
      <c r="H100" s="50" t="s">
        <v>302</v>
      </c>
      <c r="I100" s="52" t="s">
        <v>280</v>
      </c>
      <c r="J100" s="50" t="str">
        <f t="shared" si="12"/>
        <v>Sam Wilson</v>
      </c>
      <c r="K100" s="50" t="str">
        <f t="shared" si="9"/>
        <v>Marketing</v>
      </c>
      <c r="L100" s="50" t="str">
        <f t="shared" si="10"/>
        <v>India</v>
      </c>
      <c r="M100" s="50" t="str">
        <f t="shared" si="11"/>
        <v>Male</v>
      </c>
      <c r="N100" s="70">
        <f>IF(E100="N/A",AVERAGEIF(Table79[Department],Table79[[#This Row],[Department]],Table79[Salary]),E100)</f>
        <v>98475</v>
      </c>
      <c r="O100" s="70">
        <f>IF(E100="N/A",AVERAGEIF(Table79[Country2],Table79[[#This Row],[Country2]],Table79[Salary]),E100)</f>
        <v>98475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J6" sqref="J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</cols>
  <sheetData>
    <row r="1" spans="1:9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9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69175.76470588235</v>
      </c>
      <c r="G2" s="72" t="s">
        <v>178</v>
      </c>
      <c r="H2" s="50" t="s">
        <v>178</v>
      </c>
      <c r="I2" s="74">
        <v>1</v>
      </c>
    </row>
    <row r="3" spans="1:9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</row>
    <row r="4" spans="1:9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</row>
    <row r="5" spans="1:9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</row>
    <row r="6" spans="1:9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</row>
    <row r="7" spans="1:9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</row>
    <row r="8" spans="1:9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</row>
    <row r="9" spans="1:9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</row>
    <row r="10" spans="1:9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</row>
    <row r="11" spans="1:9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</row>
    <row r="12" spans="1:9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</row>
    <row r="13" spans="1:9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</row>
    <row r="14" spans="1:9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</row>
    <row r="15" spans="1:9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</row>
    <row r="16" spans="1:9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H100">
    <cfRule type="containsText" dxfId="29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D62" sqref="D62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21.453125" bestFit="1" customWidth="1"/>
    <col min="6" max="6" width="17.81640625" bestFit="1" customWidth="1"/>
    <col min="7" max="7" width="9.26953125" bestFit="1" customWidth="1"/>
    <col min="8" max="8" width="19.81640625" bestFit="1" customWidth="1"/>
    <col min="9" max="9" width="20.6328125" bestFit="1" customWidth="1"/>
  </cols>
  <sheetData>
    <row r="1" spans="1:9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347</v>
      </c>
      <c r="F1" s="46" t="s">
        <v>348</v>
      </c>
      <c r="G1" s="46" t="s">
        <v>7</v>
      </c>
      <c r="H1" s="46" t="s">
        <v>6</v>
      </c>
      <c r="I1" s="46" t="s">
        <v>349</v>
      </c>
    </row>
    <row r="2" spans="1:9" x14ac:dyDescent="0.35">
      <c r="A2" s="46" t="s">
        <v>9</v>
      </c>
      <c r="B2" s="46" t="s">
        <v>178</v>
      </c>
      <c r="C2" s="46" t="s">
        <v>166</v>
      </c>
      <c r="D2" s="46" t="s">
        <v>178</v>
      </c>
      <c r="E2" s="46">
        <v>66008.307692307688</v>
      </c>
      <c r="F2" s="46">
        <v>69175.76470588235</v>
      </c>
      <c r="G2" s="46" t="s">
        <v>178</v>
      </c>
      <c r="H2" s="46">
        <v>2</v>
      </c>
      <c r="I2" s="46" t="s">
        <v>178</v>
      </c>
    </row>
    <row r="3" spans="1:9" x14ac:dyDescent="0.35">
      <c r="A3" s="46" t="s">
        <v>10</v>
      </c>
      <c r="B3" s="46" t="s">
        <v>159</v>
      </c>
      <c r="C3" s="46" t="s">
        <v>167</v>
      </c>
      <c r="D3" s="46" t="s">
        <v>172</v>
      </c>
      <c r="E3" s="46">
        <v>54255</v>
      </c>
      <c r="F3" s="46">
        <v>54255</v>
      </c>
      <c r="G3" s="46" t="s">
        <v>180</v>
      </c>
      <c r="H3" s="46">
        <v>1</v>
      </c>
      <c r="I3" s="46" t="s">
        <v>183</v>
      </c>
    </row>
    <row r="4" spans="1:9" x14ac:dyDescent="0.35">
      <c r="A4" s="46" t="s">
        <v>11</v>
      </c>
      <c r="B4" s="46" t="s">
        <v>160</v>
      </c>
      <c r="C4" s="46" t="s">
        <v>166</v>
      </c>
      <c r="D4" s="46" t="s">
        <v>172</v>
      </c>
      <c r="E4" s="46">
        <v>63184</v>
      </c>
      <c r="F4" s="46">
        <v>63184</v>
      </c>
      <c r="G4" s="46" t="s">
        <v>180</v>
      </c>
      <c r="H4" s="46">
        <v>2</v>
      </c>
      <c r="I4" s="46" t="s">
        <v>184</v>
      </c>
    </row>
    <row r="5" spans="1:9" x14ac:dyDescent="0.35">
      <c r="A5" s="46" t="s">
        <v>12</v>
      </c>
      <c r="B5" s="46" t="s">
        <v>161</v>
      </c>
      <c r="C5" s="46" t="s">
        <v>168</v>
      </c>
      <c r="D5" s="46" t="s">
        <v>173</v>
      </c>
      <c r="E5" s="46">
        <v>94406</v>
      </c>
      <c r="F5" s="46">
        <v>94406</v>
      </c>
      <c r="G5" s="46" t="s">
        <v>180</v>
      </c>
      <c r="H5" s="46">
        <v>1</v>
      </c>
      <c r="I5" s="46" t="s">
        <v>185</v>
      </c>
    </row>
    <row r="6" spans="1:9" x14ac:dyDescent="0.35">
      <c r="A6" s="46" t="s">
        <v>13</v>
      </c>
      <c r="B6" s="46" t="s">
        <v>162</v>
      </c>
      <c r="C6" s="46" t="s">
        <v>168</v>
      </c>
      <c r="D6" s="46" t="s">
        <v>172</v>
      </c>
      <c r="E6" s="46">
        <v>64120</v>
      </c>
      <c r="F6" s="46">
        <v>64120</v>
      </c>
      <c r="G6" s="46" t="s">
        <v>180</v>
      </c>
      <c r="H6" s="46">
        <v>1</v>
      </c>
      <c r="I6" s="46" t="s">
        <v>186</v>
      </c>
    </row>
    <row r="7" spans="1:9" x14ac:dyDescent="0.35">
      <c r="A7" s="46" t="s">
        <v>14</v>
      </c>
      <c r="B7" s="46" t="s">
        <v>160</v>
      </c>
      <c r="C7" s="46" t="s">
        <v>169</v>
      </c>
      <c r="D7" s="46" t="s">
        <v>174</v>
      </c>
      <c r="E7" s="46">
        <v>78421</v>
      </c>
      <c r="F7" s="46">
        <v>78421</v>
      </c>
      <c r="G7" s="46" t="s">
        <v>181</v>
      </c>
      <c r="H7" s="46">
        <v>2</v>
      </c>
      <c r="I7" s="46" t="s">
        <v>187</v>
      </c>
    </row>
    <row r="8" spans="1:9" x14ac:dyDescent="0.35">
      <c r="A8" s="46" t="s">
        <v>16</v>
      </c>
      <c r="B8" s="46" t="s">
        <v>164</v>
      </c>
      <c r="C8" s="46" t="s">
        <v>170</v>
      </c>
      <c r="D8" s="46" t="s">
        <v>178</v>
      </c>
      <c r="E8" s="46">
        <v>35364</v>
      </c>
      <c r="F8" s="46">
        <v>35364</v>
      </c>
      <c r="G8" s="46" t="s">
        <v>180</v>
      </c>
      <c r="H8" s="46">
        <v>2</v>
      </c>
      <c r="I8" s="46" t="s">
        <v>188</v>
      </c>
    </row>
    <row r="9" spans="1:9" x14ac:dyDescent="0.35">
      <c r="A9" s="46" t="s">
        <v>17</v>
      </c>
      <c r="B9" s="46" t="s">
        <v>160</v>
      </c>
      <c r="C9" s="46" t="s">
        <v>169</v>
      </c>
      <c r="D9" s="46" t="s">
        <v>172</v>
      </c>
      <c r="E9" s="46">
        <v>97881</v>
      </c>
      <c r="F9" s="46">
        <v>97881</v>
      </c>
      <c r="G9" s="46" t="s">
        <v>181</v>
      </c>
      <c r="H9" s="46" t="s">
        <v>178</v>
      </c>
      <c r="I9" s="46" t="s">
        <v>189</v>
      </c>
    </row>
    <row r="10" spans="1:9" x14ac:dyDescent="0.35">
      <c r="A10" s="46" t="s">
        <v>18</v>
      </c>
      <c r="B10" s="46" t="s">
        <v>164</v>
      </c>
      <c r="C10" s="46" t="s">
        <v>167</v>
      </c>
      <c r="D10" s="46" t="s">
        <v>175</v>
      </c>
      <c r="E10" s="46">
        <v>91846</v>
      </c>
      <c r="F10" s="46">
        <v>91846</v>
      </c>
      <c r="G10" s="46" t="s">
        <v>180</v>
      </c>
      <c r="H10" s="46" t="s">
        <v>178</v>
      </c>
      <c r="I10" s="46" t="s">
        <v>190</v>
      </c>
    </row>
    <row r="11" spans="1:9" x14ac:dyDescent="0.35">
      <c r="A11" s="46" t="s">
        <v>19</v>
      </c>
      <c r="B11" s="46" t="s">
        <v>163</v>
      </c>
      <c r="C11" s="46" t="s">
        <v>166</v>
      </c>
      <c r="D11" s="46" t="s">
        <v>175</v>
      </c>
      <c r="E11" s="46">
        <v>64247</v>
      </c>
      <c r="F11" s="46">
        <v>64247</v>
      </c>
      <c r="G11" s="46" t="s">
        <v>181</v>
      </c>
      <c r="H11" s="46">
        <v>1</v>
      </c>
      <c r="I11" s="46" t="s">
        <v>191</v>
      </c>
    </row>
    <row r="12" spans="1:9" x14ac:dyDescent="0.35">
      <c r="A12" s="46" t="s">
        <v>20</v>
      </c>
      <c r="B12" s="46" t="s">
        <v>163</v>
      </c>
      <c r="C12" s="46" t="s">
        <v>169</v>
      </c>
      <c r="D12" s="46" t="s">
        <v>173</v>
      </c>
      <c r="E12" s="46">
        <v>91180</v>
      </c>
      <c r="F12" s="46">
        <v>91180</v>
      </c>
      <c r="G12" s="46" t="s">
        <v>180</v>
      </c>
      <c r="H12" s="46">
        <v>5</v>
      </c>
      <c r="I12" s="46" t="s">
        <v>192</v>
      </c>
    </row>
    <row r="13" spans="1:9" x14ac:dyDescent="0.35">
      <c r="A13" s="46" t="s">
        <v>22</v>
      </c>
      <c r="B13" s="46" t="s">
        <v>163</v>
      </c>
      <c r="C13" s="46" t="s">
        <v>178</v>
      </c>
      <c r="D13" s="46" t="s">
        <v>174</v>
      </c>
      <c r="E13" s="46">
        <v>62158</v>
      </c>
      <c r="F13" s="46">
        <v>62158</v>
      </c>
      <c r="G13" s="46" t="s">
        <v>180</v>
      </c>
      <c r="H13" s="46">
        <v>4</v>
      </c>
      <c r="I13" s="46" t="s">
        <v>193</v>
      </c>
    </row>
    <row r="14" spans="1:9" x14ac:dyDescent="0.35">
      <c r="A14" s="46" t="s">
        <v>23</v>
      </c>
      <c r="B14" s="46" t="s">
        <v>162</v>
      </c>
      <c r="C14" s="46" t="s">
        <v>167</v>
      </c>
      <c r="D14" s="46" t="s">
        <v>178</v>
      </c>
      <c r="E14" s="46">
        <v>59894</v>
      </c>
      <c r="F14" s="46">
        <v>59894</v>
      </c>
      <c r="G14" s="46" t="s">
        <v>180</v>
      </c>
      <c r="H14" s="46">
        <v>2</v>
      </c>
      <c r="I14" s="46" t="s">
        <v>194</v>
      </c>
    </row>
    <row r="15" spans="1:9" x14ac:dyDescent="0.35">
      <c r="A15" s="46" t="s">
        <v>24</v>
      </c>
      <c r="B15" s="46" t="s">
        <v>178</v>
      </c>
      <c r="C15" s="46" t="s">
        <v>169</v>
      </c>
      <c r="D15" s="46" t="s">
        <v>174</v>
      </c>
      <c r="E15" s="46">
        <v>92443</v>
      </c>
      <c r="F15" s="46">
        <v>92443</v>
      </c>
      <c r="G15" s="46" t="s">
        <v>180</v>
      </c>
      <c r="H15" s="46">
        <v>3</v>
      </c>
      <c r="I15" s="46" t="s">
        <v>195</v>
      </c>
    </row>
    <row r="16" spans="1:9" x14ac:dyDescent="0.35">
      <c r="A16" s="46" t="s">
        <v>25</v>
      </c>
      <c r="B16" s="46" t="s">
        <v>165</v>
      </c>
      <c r="C16" s="46" t="s">
        <v>178</v>
      </c>
      <c r="D16" s="46" t="s">
        <v>172</v>
      </c>
      <c r="E16" s="46">
        <v>90271</v>
      </c>
      <c r="F16" s="46">
        <v>90271</v>
      </c>
      <c r="G16" s="46" t="s">
        <v>180</v>
      </c>
      <c r="H16" s="46" t="s">
        <v>178</v>
      </c>
      <c r="I16" s="46" t="s">
        <v>196</v>
      </c>
    </row>
    <row r="17" spans="1:9" x14ac:dyDescent="0.35">
      <c r="A17" s="46" t="s">
        <v>26</v>
      </c>
      <c r="B17" s="46" t="s">
        <v>162</v>
      </c>
      <c r="C17" s="46" t="s">
        <v>166</v>
      </c>
      <c r="D17" s="46" t="s">
        <v>176</v>
      </c>
      <c r="E17" s="46">
        <v>41341</v>
      </c>
      <c r="F17" s="46">
        <v>41341</v>
      </c>
      <c r="G17" s="46" t="s">
        <v>180</v>
      </c>
      <c r="H17" s="46">
        <v>1</v>
      </c>
      <c r="I17" s="46" t="s">
        <v>197</v>
      </c>
    </row>
    <row r="18" spans="1:9" x14ac:dyDescent="0.35">
      <c r="A18" s="46" t="s">
        <v>27</v>
      </c>
      <c r="B18" s="46" t="s">
        <v>160</v>
      </c>
      <c r="C18" s="46" t="s">
        <v>166</v>
      </c>
      <c r="D18" s="46" t="s">
        <v>175</v>
      </c>
      <c r="E18" s="46">
        <v>73602</v>
      </c>
      <c r="F18" s="46">
        <v>73602</v>
      </c>
      <c r="G18" s="46" t="s">
        <v>180</v>
      </c>
      <c r="H18" s="46" t="s">
        <v>178</v>
      </c>
      <c r="I18" s="46" t="s">
        <v>198</v>
      </c>
    </row>
    <row r="19" spans="1:9" x14ac:dyDescent="0.35">
      <c r="A19" s="46" t="s">
        <v>28</v>
      </c>
      <c r="B19" s="46" t="s">
        <v>159</v>
      </c>
      <c r="C19" s="46" t="s">
        <v>178</v>
      </c>
      <c r="D19" s="46" t="s">
        <v>174</v>
      </c>
      <c r="E19" s="46">
        <v>67531</v>
      </c>
      <c r="F19" s="46">
        <v>67531</v>
      </c>
      <c r="G19" s="46" t="s">
        <v>181</v>
      </c>
      <c r="H19" s="46">
        <v>5</v>
      </c>
      <c r="I19" s="46" t="s">
        <v>199</v>
      </c>
    </row>
    <row r="20" spans="1:9" x14ac:dyDescent="0.35">
      <c r="A20" s="46" t="s">
        <v>29</v>
      </c>
      <c r="B20" s="46" t="s">
        <v>162</v>
      </c>
      <c r="C20" s="46" t="s">
        <v>167</v>
      </c>
      <c r="D20" s="46" t="s">
        <v>173</v>
      </c>
      <c r="E20" s="46">
        <v>66982.875</v>
      </c>
      <c r="F20" s="46">
        <v>69408.5625</v>
      </c>
      <c r="G20" s="46" t="s">
        <v>180</v>
      </c>
      <c r="H20" s="46">
        <v>2</v>
      </c>
      <c r="I20" s="46" t="s">
        <v>200</v>
      </c>
    </row>
    <row r="21" spans="1:9" x14ac:dyDescent="0.35">
      <c r="A21" s="46" t="s">
        <v>30</v>
      </c>
      <c r="B21" s="46" t="s">
        <v>162</v>
      </c>
      <c r="C21" s="46" t="s">
        <v>167</v>
      </c>
      <c r="D21" s="46" t="s">
        <v>178</v>
      </c>
      <c r="E21" s="46">
        <v>98922</v>
      </c>
      <c r="F21" s="46">
        <v>98922</v>
      </c>
      <c r="G21" s="46" t="s">
        <v>180</v>
      </c>
      <c r="H21" s="46">
        <v>4</v>
      </c>
      <c r="I21" s="46" t="s">
        <v>201</v>
      </c>
    </row>
    <row r="22" spans="1:9" x14ac:dyDescent="0.35">
      <c r="A22" s="46" t="s">
        <v>31</v>
      </c>
      <c r="B22" s="46" t="s">
        <v>159</v>
      </c>
      <c r="C22" s="46" t="s">
        <v>166</v>
      </c>
      <c r="D22" s="46" t="s">
        <v>174</v>
      </c>
      <c r="E22" s="46">
        <v>38333</v>
      </c>
      <c r="F22" s="46">
        <v>38333</v>
      </c>
      <c r="G22" s="46" t="s">
        <v>180</v>
      </c>
      <c r="H22" s="46">
        <v>5</v>
      </c>
      <c r="I22" s="46" t="s">
        <v>202</v>
      </c>
    </row>
    <row r="23" spans="1:9" x14ac:dyDescent="0.35">
      <c r="A23" s="46" t="s">
        <v>32</v>
      </c>
      <c r="B23" s="46" t="s">
        <v>160</v>
      </c>
      <c r="C23" s="46" t="s">
        <v>170</v>
      </c>
      <c r="D23" s="46" t="s">
        <v>175</v>
      </c>
      <c r="E23" s="46">
        <v>36515</v>
      </c>
      <c r="F23" s="46">
        <v>36515</v>
      </c>
      <c r="G23" s="46" t="s">
        <v>180</v>
      </c>
      <c r="H23" s="46">
        <v>3</v>
      </c>
      <c r="I23" s="46" t="s">
        <v>203</v>
      </c>
    </row>
    <row r="24" spans="1:9" x14ac:dyDescent="0.35">
      <c r="A24" s="46" t="s">
        <v>33</v>
      </c>
      <c r="B24" s="46" t="s">
        <v>163</v>
      </c>
      <c r="C24" s="46" t="s">
        <v>166</v>
      </c>
      <c r="D24" s="46" t="s">
        <v>178</v>
      </c>
      <c r="E24" s="46">
        <v>91005</v>
      </c>
      <c r="F24" s="46">
        <v>91005</v>
      </c>
      <c r="G24" s="46" t="s">
        <v>180</v>
      </c>
      <c r="H24" s="46">
        <v>1</v>
      </c>
      <c r="I24" s="46" t="s">
        <v>204</v>
      </c>
    </row>
    <row r="25" spans="1:9" x14ac:dyDescent="0.35">
      <c r="A25" s="46" t="s">
        <v>34</v>
      </c>
      <c r="B25" s="46" t="s">
        <v>164</v>
      </c>
      <c r="C25" s="46" t="s">
        <v>178</v>
      </c>
      <c r="D25" s="46" t="s">
        <v>178</v>
      </c>
      <c r="E25" s="46">
        <v>52272</v>
      </c>
      <c r="F25" s="46">
        <v>52272</v>
      </c>
      <c r="G25" s="46" t="s">
        <v>180</v>
      </c>
      <c r="H25" s="46">
        <v>3</v>
      </c>
      <c r="I25" s="46" t="s">
        <v>205</v>
      </c>
    </row>
    <row r="26" spans="1:9" x14ac:dyDescent="0.35">
      <c r="A26" s="46" t="s">
        <v>35</v>
      </c>
      <c r="B26" s="46" t="s">
        <v>159</v>
      </c>
      <c r="C26" s="46" t="s">
        <v>168</v>
      </c>
      <c r="D26" s="46" t="s">
        <v>172</v>
      </c>
      <c r="E26" s="46">
        <v>76518</v>
      </c>
      <c r="F26" s="46">
        <v>76518</v>
      </c>
      <c r="G26" s="46" t="s">
        <v>181</v>
      </c>
      <c r="H26" s="46">
        <v>2</v>
      </c>
      <c r="I26" s="46" t="s">
        <v>206</v>
      </c>
    </row>
    <row r="27" spans="1:9" x14ac:dyDescent="0.35">
      <c r="A27" s="46" t="s">
        <v>36</v>
      </c>
      <c r="B27" s="46" t="s">
        <v>160</v>
      </c>
      <c r="C27" s="46" t="s">
        <v>169</v>
      </c>
      <c r="D27" s="46" t="s">
        <v>175</v>
      </c>
      <c r="E27" s="46">
        <v>41448</v>
      </c>
      <c r="F27" s="46">
        <v>41448</v>
      </c>
      <c r="G27" s="46" t="s">
        <v>180</v>
      </c>
      <c r="H27" s="46">
        <v>3</v>
      </c>
      <c r="I27" s="46" t="s">
        <v>207</v>
      </c>
    </row>
    <row r="28" spans="1:9" x14ac:dyDescent="0.35">
      <c r="A28" s="46" t="s">
        <v>37</v>
      </c>
      <c r="B28" s="46" t="s">
        <v>161</v>
      </c>
      <c r="C28" s="46" t="s">
        <v>167</v>
      </c>
      <c r="D28" s="46" t="s">
        <v>175</v>
      </c>
      <c r="E28" s="46">
        <v>49282</v>
      </c>
      <c r="F28" s="46">
        <v>49282</v>
      </c>
      <c r="G28" s="46" t="s">
        <v>181</v>
      </c>
      <c r="H28" s="46">
        <v>2</v>
      </c>
      <c r="I28" s="46" t="s">
        <v>208</v>
      </c>
    </row>
    <row r="29" spans="1:9" x14ac:dyDescent="0.35">
      <c r="A29" s="46" t="s">
        <v>38</v>
      </c>
      <c r="B29" s="46" t="s">
        <v>165</v>
      </c>
      <c r="C29" s="46" t="s">
        <v>170</v>
      </c>
      <c r="D29" s="46" t="s">
        <v>175</v>
      </c>
      <c r="E29" s="46">
        <v>92959</v>
      </c>
      <c r="F29" s="46">
        <v>92959</v>
      </c>
      <c r="G29" s="46" t="s">
        <v>180</v>
      </c>
      <c r="H29" s="46">
        <v>5</v>
      </c>
      <c r="I29" s="46" t="s">
        <v>209</v>
      </c>
    </row>
    <row r="30" spans="1:9" x14ac:dyDescent="0.35">
      <c r="A30" s="46" t="s">
        <v>39</v>
      </c>
      <c r="B30" s="46" t="s">
        <v>178</v>
      </c>
      <c r="C30" s="46" t="s">
        <v>170</v>
      </c>
      <c r="D30" s="46" t="s">
        <v>178</v>
      </c>
      <c r="E30" s="46">
        <v>92259</v>
      </c>
      <c r="F30" s="46">
        <v>92259</v>
      </c>
      <c r="G30" s="46" t="s">
        <v>178</v>
      </c>
      <c r="H30" s="46">
        <v>1</v>
      </c>
      <c r="I30" s="46" t="s">
        <v>210</v>
      </c>
    </row>
    <row r="31" spans="1:9" x14ac:dyDescent="0.35">
      <c r="A31" s="46" t="s">
        <v>40</v>
      </c>
      <c r="B31" s="46" t="s">
        <v>159</v>
      </c>
      <c r="C31" s="46" t="s">
        <v>167</v>
      </c>
      <c r="D31" s="46" t="s">
        <v>172</v>
      </c>
      <c r="E31" s="46">
        <v>92299</v>
      </c>
      <c r="F31" s="46">
        <v>92299</v>
      </c>
      <c r="G31" s="46" t="s">
        <v>180</v>
      </c>
      <c r="H31" s="46">
        <v>3</v>
      </c>
      <c r="I31" s="46" t="s">
        <v>211</v>
      </c>
    </row>
    <row r="32" spans="1:9" x14ac:dyDescent="0.35">
      <c r="A32" s="46" t="s">
        <v>41</v>
      </c>
      <c r="B32" s="46" t="s">
        <v>163</v>
      </c>
      <c r="C32" s="46" t="s">
        <v>167</v>
      </c>
      <c r="D32" s="46" t="s">
        <v>178</v>
      </c>
      <c r="E32" s="46">
        <v>95586</v>
      </c>
      <c r="F32" s="46">
        <v>95586</v>
      </c>
      <c r="G32" s="46" t="s">
        <v>180</v>
      </c>
      <c r="H32" s="46">
        <v>3</v>
      </c>
      <c r="I32" s="46" t="s">
        <v>212</v>
      </c>
    </row>
    <row r="33" spans="1:9" x14ac:dyDescent="0.35">
      <c r="A33" s="46" t="s">
        <v>42</v>
      </c>
      <c r="B33" s="46" t="s">
        <v>164</v>
      </c>
      <c r="C33" s="46" t="s">
        <v>178</v>
      </c>
      <c r="D33" s="46" t="s">
        <v>173</v>
      </c>
      <c r="E33" s="46">
        <v>95367</v>
      </c>
      <c r="F33" s="46">
        <v>95367</v>
      </c>
      <c r="G33" s="46" t="s">
        <v>180</v>
      </c>
      <c r="H33" s="46" t="s">
        <v>178</v>
      </c>
      <c r="I33" s="46" t="s">
        <v>213</v>
      </c>
    </row>
    <row r="34" spans="1:9" x14ac:dyDescent="0.35">
      <c r="A34" s="46" t="s">
        <v>43</v>
      </c>
      <c r="B34" s="46" t="s">
        <v>161</v>
      </c>
      <c r="C34" s="46" t="s">
        <v>168</v>
      </c>
      <c r="D34" s="46" t="s">
        <v>176</v>
      </c>
      <c r="E34" s="46">
        <v>79549</v>
      </c>
      <c r="F34" s="46">
        <v>79549</v>
      </c>
      <c r="G34" s="46" t="s">
        <v>180</v>
      </c>
      <c r="H34" s="46">
        <v>3</v>
      </c>
      <c r="I34" s="46" t="s">
        <v>214</v>
      </c>
    </row>
    <row r="35" spans="1:9" x14ac:dyDescent="0.35">
      <c r="A35" s="46" t="s">
        <v>45</v>
      </c>
      <c r="B35" s="46" t="s">
        <v>160</v>
      </c>
      <c r="C35" s="46" t="s">
        <v>169</v>
      </c>
      <c r="D35" s="46" t="s">
        <v>173</v>
      </c>
      <c r="E35" s="46">
        <v>89781</v>
      </c>
      <c r="F35" s="46">
        <v>89781</v>
      </c>
      <c r="G35" s="46" t="s">
        <v>181</v>
      </c>
      <c r="H35" s="46" t="s">
        <v>178</v>
      </c>
      <c r="I35" s="46" t="s">
        <v>215</v>
      </c>
    </row>
    <row r="36" spans="1:9" x14ac:dyDescent="0.35">
      <c r="A36" s="46" t="s">
        <v>46</v>
      </c>
      <c r="B36" s="46" t="s">
        <v>160</v>
      </c>
      <c r="C36" s="46" t="s">
        <v>167</v>
      </c>
      <c r="D36" s="46" t="s">
        <v>178</v>
      </c>
      <c r="E36" s="46">
        <v>64796</v>
      </c>
      <c r="F36" s="46">
        <v>64796</v>
      </c>
      <c r="G36" s="46" t="s">
        <v>180</v>
      </c>
      <c r="H36" s="46" t="s">
        <v>178</v>
      </c>
      <c r="I36" s="46" t="s">
        <v>216</v>
      </c>
    </row>
    <row r="37" spans="1:9" x14ac:dyDescent="0.35">
      <c r="A37" s="46" t="s">
        <v>47</v>
      </c>
      <c r="B37" s="46" t="s">
        <v>161</v>
      </c>
      <c r="C37" s="46" t="s">
        <v>170</v>
      </c>
      <c r="D37" s="46" t="s">
        <v>175</v>
      </c>
      <c r="E37" s="46">
        <v>52093</v>
      </c>
      <c r="F37" s="46">
        <v>52093</v>
      </c>
      <c r="G37" s="46" t="s">
        <v>180</v>
      </c>
      <c r="H37" s="46">
        <v>5</v>
      </c>
      <c r="I37" s="46" t="s">
        <v>217</v>
      </c>
    </row>
    <row r="38" spans="1:9" x14ac:dyDescent="0.35">
      <c r="A38" s="46" t="s">
        <v>48</v>
      </c>
      <c r="B38" s="46" t="s">
        <v>164</v>
      </c>
      <c r="C38" s="46" t="s">
        <v>167</v>
      </c>
      <c r="D38" s="46" t="s">
        <v>175</v>
      </c>
      <c r="E38" s="46">
        <v>48224</v>
      </c>
      <c r="F38" s="46">
        <v>48224</v>
      </c>
      <c r="G38" s="46" t="s">
        <v>180</v>
      </c>
      <c r="H38" s="46">
        <v>3</v>
      </c>
      <c r="I38" s="46" t="s">
        <v>218</v>
      </c>
    </row>
    <row r="39" spans="1:9" x14ac:dyDescent="0.35">
      <c r="A39" s="46" t="s">
        <v>49</v>
      </c>
      <c r="B39" s="46" t="s">
        <v>165</v>
      </c>
      <c r="C39" s="46" t="s">
        <v>166</v>
      </c>
      <c r="D39" s="46" t="s">
        <v>175</v>
      </c>
      <c r="E39" s="46">
        <v>66008.307692307688</v>
      </c>
      <c r="F39" s="46">
        <v>67008.2</v>
      </c>
      <c r="G39" s="46" t="s">
        <v>181</v>
      </c>
      <c r="H39" s="46">
        <v>4</v>
      </c>
      <c r="I39" s="46" t="s">
        <v>219</v>
      </c>
    </row>
    <row r="40" spans="1:9" x14ac:dyDescent="0.35">
      <c r="A40" s="46" t="s">
        <v>50</v>
      </c>
      <c r="B40" s="46" t="s">
        <v>160</v>
      </c>
      <c r="C40" s="46" t="s">
        <v>169</v>
      </c>
      <c r="D40" s="46" t="s">
        <v>172</v>
      </c>
      <c r="E40" s="46">
        <v>33956</v>
      </c>
      <c r="F40" s="46">
        <v>33956</v>
      </c>
      <c r="G40" s="46" t="s">
        <v>180</v>
      </c>
      <c r="H40" s="46" t="s">
        <v>178</v>
      </c>
      <c r="I40" s="46" t="s">
        <v>220</v>
      </c>
    </row>
    <row r="41" spans="1:9" x14ac:dyDescent="0.35">
      <c r="A41" s="46" t="s">
        <v>51</v>
      </c>
      <c r="B41" s="46" t="s">
        <v>165</v>
      </c>
      <c r="C41" s="46" t="s">
        <v>178</v>
      </c>
      <c r="D41" s="46" t="s">
        <v>176</v>
      </c>
      <c r="E41" s="46">
        <v>64913</v>
      </c>
      <c r="F41" s="46">
        <v>64913</v>
      </c>
      <c r="G41" s="46" t="s">
        <v>181</v>
      </c>
      <c r="H41" s="46">
        <v>1</v>
      </c>
      <c r="I41" s="46" t="s">
        <v>221</v>
      </c>
    </row>
    <row r="42" spans="1:9" x14ac:dyDescent="0.35">
      <c r="A42" s="46" t="s">
        <v>52</v>
      </c>
      <c r="B42" s="46" t="s">
        <v>160</v>
      </c>
      <c r="C42" s="46" t="s">
        <v>170</v>
      </c>
      <c r="D42" s="46" t="s">
        <v>176</v>
      </c>
      <c r="E42" s="46">
        <v>35326</v>
      </c>
      <c r="F42" s="46">
        <v>35326</v>
      </c>
      <c r="G42" s="46" t="s">
        <v>181</v>
      </c>
      <c r="H42" s="46" t="s">
        <v>178</v>
      </c>
      <c r="I42" s="46" t="s">
        <v>222</v>
      </c>
    </row>
    <row r="43" spans="1:9" x14ac:dyDescent="0.35">
      <c r="A43" s="46" t="s">
        <v>53</v>
      </c>
      <c r="B43" s="46" t="s">
        <v>164</v>
      </c>
      <c r="C43" s="46" t="s">
        <v>166</v>
      </c>
      <c r="D43" s="46" t="s">
        <v>178</v>
      </c>
      <c r="E43" s="46">
        <v>81610</v>
      </c>
      <c r="F43" s="46">
        <v>81610</v>
      </c>
      <c r="G43" s="46" t="s">
        <v>180</v>
      </c>
      <c r="H43" s="46">
        <v>1</v>
      </c>
      <c r="I43" s="46" t="s">
        <v>223</v>
      </c>
    </row>
    <row r="44" spans="1:9" x14ac:dyDescent="0.35">
      <c r="A44" s="46" t="s">
        <v>55</v>
      </c>
      <c r="B44" s="46" t="s">
        <v>164</v>
      </c>
      <c r="C44" s="46" t="s">
        <v>169</v>
      </c>
      <c r="D44" s="46" t="s">
        <v>172</v>
      </c>
      <c r="E44" s="46">
        <v>92701</v>
      </c>
      <c r="F44" s="46">
        <v>92701</v>
      </c>
      <c r="G44" s="46" t="s">
        <v>180</v>
      </c>
      <c r="H44" s="46">
        <v>3</v>
      </c>
      <c r="I44" s="46" t="s">
        <v>224</v>
      </c>
    </row>
    <row r="45" spans="1:9" x14ac:dyDescent="0.35">
      <c r="A45" s="46" t="s">
        <v>56</v>
      </c>
      <c r="B45" s="46" t="s">
        <v>164</v>
      </c>
      <c r="C45" s="46" t="s">
        <v>167</v>
      </c>
      <c r="D45" s="46" t="s">
        <v>174</v>
      </c>
      <c r="E45" s="46">
        <v>58245</v>
      </c>
      <c r="F45" s="46">
        <v>58245</v>
      </c>
      <c r="G45" s="46" t="s">
        <v>180</v>
      </c>
      <c r="H45" s="46">
        <v>4</v>
      </c>
      <c r="I45" s="46" t="s">
        <v>225</v>
      </c>
    </row>
    <row r="46" spans="1:9" x14ac:dyDescent="0.35">
      <c r="A46" s="46" t="s">
        <v>59</v>
      </c>
      <c r="B46" s="46" t="s">
        <v>164</v>
      </c>
      <c r="C46" s="46" t="s">
        <v>178</v>
      </c>
      <c r="D46" s="46" t="s">
        <v>350</v>
      </c>
      <c r="E46" s="46">
        <v>30686</v>
      </c>
      <c r="F46" s="46">
        <v>30686</v>
      </c>
      <c r="G46" s="46" t="s">
        <v>181</v>
      </c>
      <c r="H46" s="46">
        <v>2</v>
      </c>
      <c r="I46" s="46" t="s">
        <v>226</v>
      </c>
    </row>
    <row r="47" spans="1:9" x14ac:dyDescent="0.35">
      <c r="A47" s="46" t="s">
        <v>60</v>
      </c>
      <c r="B47" s="46" t="s">
        <v>163</v>
      </c>
      <c r="C47" s="46" t="s">
        <v>168</v>
      </c>
      <c r="D47" s="46" t="s">
        <v>174</v>
      </c>
      <c r="E47" s="46">
        <v>39423</v>
      </c>
      <c r="F47" s="46">
        <v>39423</v>
      </c>
      <c r="G47" s="46" t="s">
        <v>180</v>
      </c>
      <c r="H47" s="46">
        <v>5</v>
      </c>
      <c r="I47" s="46" t="s">
        <v>227</v>
      </c>
    </row>
    <row r="48" spans="1:9" x14ac:dyDescent="0.35">
      <c r="A48" s="46" t="s">
        <v>61</v>
      </c>
      <c r="B48" s="46" t="s">
        <v>159</v>
      </c>
      <c r="C48" s="46" t="s">
        <v>170</v>
      </c>
      <c r="D48" s="46" t="s">
        <v>178</v>
      </c>
      <c r="E48" s="46">
        <v>30280</v>
      </c>
      <c r="F48" s="46">
        <v>30280</v>
      </c>
      <c r="G48" s="46" t="s">
        <v>180</v>
      </c>
      <c r="H48" s="46">
        <v>1</v>
      </c>
      <c r="I48" s="46" t="s">
        <v>228</v>
      </c>
    </row>
    <row r="49" spans="1:9" x14ac:dyDescent="0.35">
      <c r="A49" s="46" t="s">
        <v>63</v>
      </c>
      <c r="B49" s="46" t="s">
        <v>165</v>
      </c>
      <c r="C49" s="46" t="s">
        <v>170</v>
      </c>
      <c r="D49" s="46" t="s">
        <v>175</v>
      </c>
      <c r="E49" s="46">
        <v>75633</v>
      </c>
      <c r="F49" s="46">
        <v>75633</v>
      </c>
      <c r="G49" s="46" t="s">
        <v>180</v>
      </c>
      <c r="H49" s="46">
        <v>5</v>
      </c>
      <c r="I49" s="46" t="s">
        <v>229</v>
      </c>
    </row>
    <row r="50" spans="1:9" x14ac:dyDescent="0.35">
      <c r="A50" s="46" t="s">
        <v>64</v>
      </c>
      <c r="B50" s="46" t="s">
        <v>164</v>
      </c>
      <c r="C50" s="46" t="s">
        <v>178</v>
      </c>
      <c r="D50" s="46" t="s">
        <v>173</v>
      </c>
      <c r="E50" s="46">
        <v>74815</v>
      </c>
      <c r="F50" s="46">
        <v>74815</v>
      </c>
      <c r="G50" s="46" t="s">
        <v>181</v>
      </c>
      <c r="H50" s="46">
        <v>5</v>
      </c>
      <c r="I50" s="46" t="s">
        <v>230</v>
      </c>
    </row>
    <row r="51" spans="1:9" x14ac:dyDescent="0.35">
      <c r="A51" s="46" t="s">
        <v>65</v>
      </c>
      <c r="B51" s="46" t="s">
        <v>161</v>
      </c>
      <c r="C51" s="46" t="s">
        <v>168</v>
      </c>
      <c r="D51" s="46" t="s">
        <v>176</v>
      </c>
      <c r="E51" s="46">
        <v>60011</v>
      </c>
      <c r="F51" s="46">
        <v>60011</v>
      </c>
      <c r="G51" s="46" t="s">
        <v>180</v>
      </c>
      <c r="H51" s="46">
        <v>1</v>
      </c>
      <c r="I51" s="46" t="s">
        <v>231</v>
      </c>
    </row>
    <row r="52" spans="1:9" x14ac:dyDescent="0.35">
      <c r="A52" s="46" t="s">
        <v>67</v>
      </c>
      <c r="B52" s="46" t="s">
        <v>163</v>
      </c>
      <c r="C52" s="46" t="s">
        <v>170</v>
      </c>
      <c r="D52" s="46" t="s">
        <v>178</v>
      </c>
      <c r="E52" s="46">
        <v>84924</v>
      </c>
      <c r="F52" s="46">
        <v>84924</v>
      </c>
      <c r="G52" s="46" t="s">
        <v>180</v>
      </c>
      <c r="H52" s="46">
        <v>5</v>
      </c>
      <c r="I52" s="46" t="s">
        <v>232</v>
      </c>
    </row>
    <row r="53" spans="1:9" x14ac:dyDescent="0.35">
      <c r="A53" s="46" t="s">
        <v>69</v>
      </c>
      <c r="B53" s="46" t="s">
        <v>178</v>
      </c>
      <c r="C53" s="46" t="s">
        <v>170</v>
      </c>
      <c r="D53" s="46" t="s">
        <v>172</v>
      </c>
      <c r="E53" s="46">
        <v>66344</v>
      </c>
      <c r="F53" s="46">
        <v>71793.71428571429</v>
      </c>
      <c r="G53" s="46" t="s">
        <v>178</v>
      </c>
      <c r="H53" s="46">
        <v>5</v>
      </c>
      <c r="I53" s="46" t="s">
        <v>233</v>
      </c>
    </row>
    <row r="54" spans="1:9" x14ac:dyDescent="0.35">
      <c r="A54" s="46" t="s">
        <v>71</v>
      </c>
      <c r="B54" s="46" t="s">
        <v>164</v>
      </c>
      <c r="C54" s="46" t="s">
        <v>169</v>
      </c>
      <c r="D54" s="46" t="s">
        <v>175</v>
      </c>
      <c r="E54" s="46">
        <v>97981</v>
      </c>
      <c r="F54" s="46">
        <v>97981</v>
      </c>
      <c r="G54" s="46" t="s">
        <v>181</v>
      </c>
      <c r="H54" s="46">
        <v>5</v>
      </c>
      <c r="I54" s="46" t="s">
        <v>234</v>
      </c>
    </row>
    <row r="55" spans="1:9" x14ac:dyDescent="0.35">
      <c r="A55" s="46" t="s">
        <v>72</v>
      </c>
      <c r="B55" s="46" t="s">
        <v>159</v>
      </c>
      <c r="C55" s="46" t="s">
        <v>167</v>
      </c>
      <c r="D55" s="46" t="s">
        <v>173</v>
      </c>
      <c r="E55" s="46">
        <v>36541</v>
      </c>
      <c r="F55" s="46">
        <v>36541</v>
      </c>
      <c r="G55" s="46" t="s">
        <v>180</v>
      </c>
      <c r="H55" s="46">
        <v>2</v>
      </c>
      <c r="I55" s="46" t="s">
        <v>235</v>
      </c>
    </row>
    <row r="56" spans="1:9" x14ac:dyDescent="0.35">
      <c r="A56" s="46" t="s">
        <v>73</v>
      </c>
      <c r="B56" s="46" t="s">
        <v>161</v>
      </c>
      <c r="C56" s="46" t="s">
        <v>169</v>
      </c>
      <c r="D56" s="46" t="s">
        <v>174</v>
      </c>
      <c r="E56" s="46">
        <v>84737</v>
      </c>
      <c r="F56" s="46">
        <v>84737</v>
      </c>
      <c r="G56" s="46" t="s">
        <v>180</v>
      </c>
      <c r="H56" s="46">
        <v>1</v>
      </c>
      <c r="I56" s="46" t="s">
        <v>236</v>
      </c>
    </row>
    <row r="57" spans="1:9" x14ac:dyDescent="0.35">
      <c r="A57" s="46" t="s">
        <v>74</v>
      </c>
      <c r="B57" s="46" t="s">
        <v>163</v>
      </c>
      <c r="C57" s="46" t="s">
        <v>166</v>
      </c>
      <c r="D57" s="46" t="s">
        <v>174</v>
      </c>
      <c r="E57" s="46">
        <v>33468</v>
      </c>
      <c r="F57" s="46">
        <v>33468</v>
      </c>
      <c r="G57" s="46" t="s">
        <v>180</v>
      </c>
      <c r="H57" s="46">
        <v>4</v>
      </c>
      <c r="I57" s="46" t="s">
        <v>237</v>
      </c>
    </row>
    <row r="58" spans="1:9" x14ac:dyDescent="0.35">
      <c r="A58" s="46" t="s">
        <v>75</v>
      </c>
      <c r="B58" s="46" t="s">
        <v>163</v>
      </c>
      <c r="C58" s="46" t="s">
        <v>178</v>
      </c>
      <c r="D58" s="46" t="s">
        <v>176</v>
      </c>
      <c r="E58" s="46">
        <v>96365</v>
      </c>
      <c r="F58" s="46">
        <v>96365</v>
      </c>
      <c r="G58" s="46" t="s">
        <v>180</v>
      </c>
      <c r="H58" s="46">
        <v>3</v>
      </c>
      <c r="I58" s="46" t="s">
        <v>238</v>
      </c>
    </row>
    <row r="59" spans="1:9" x14ac:dyDescent="0.35">
      <c r="A59" s="46" t="s">
        <v>76</v>
      </c>
      <c r="B59" s="46" t="s">
        <v>160</v>
      </c>
      <c r="C59" s="46" t="s">
        <v>168</v>
      </c>
      <c r="D59" s="46" t="s">
        <v>174</v>
      </c>
      <c r="E59" s="46">
        <v>61942</v>
      </c>
      <c r="F59" s="46">
        <v>61942</v>
      </c>
      <c r="G59" s="46" t="s">
        <v>181</v>
      </c>
      <c r="H59" s="46">
        <v>3</v>
      </c>
      <c r="I59" s="46" t="s">
        <v>239</v>
      </c>
    </row>
    <row r="60" spans="1:9" x14ac:dyDescent="0.35">
      <c r="A60" s="46" t="s">
        <v>78</v>
      </c>
      <c r="B60" s="46" t="s">
        <v>165</v>
      </c>
      <c r="C60" s="46" t="s">
        <v>166</v>
      </c>
      <c r="D60" s="46" t="s">
        <v>174</v>
      </c>
      <c r="E60" s="46">
        <v>77096</v>
      </c>
      <c r="F60" s="46">
        <v>77096</v>
      </c>
      <c r="G60" s="46" t="s">
        <v>180</v>
      </c>
      <c r="H60" s="46">
        <v>1</v>
      </c>
      <c r="I60" s="46" t="s">
        <v>240</v>
      </c>
    </row>
    <row r="61" spans="1:9" x14ac:dyDescent="0.35">
      <c r="A61" s="46" t="s">
        <v>80</v>
      </c>
      <c r="B61" s="46" t="s">
        <v>159</v>
      </c>
      <c r="C61" s="46" t="s">
        <v>170</v>
      </c>
      <c r="D61" s="46" t="s">
        <v>173</v>
      </c>
      <c r="E61" s="46">
        <v>85065</v>
      </c>
      <c r="F61" s="46">
        <v>85065</v>
      </c>
      <c r="G61" s="46" t="s">
        <v>180</v>
      </c>
      <c r="H61" s="46">
        <v>3</v>
      </c>
      <c r="I61" s="46" t="s">
        <v>241</v>
      </c>
    </row>
    <row r="62" spans="1:9" x14ac:dyDescent="0.35">
      <c r="A62" s="46" t="s">
        <v>84</v>
      </c>
      <c r="B62" s="46" t="s">
        <v>178</v>
      </c>
      <c r="C62" s="46" t="s">
        <v>168</v>
      </c>
      <c r="D62" s="46" t="s">
        <v>350</v>
      </c>
      <c r="E62" s="46">
        <v>96142</v>
      </c>
      <c r="F62" s="46">
        <v>96142</v>
      </c>
      <c r="G62" s="46" t="s">
        <v>180</v>
      </c>
      <c r="H62" s="46">
        <v>1</v>
      </c>
      <c r="I62" s="46" t="s">
        <v>242</v>
      </c>
    </row>
    <row r="63" spans="1:9" x14ac:dyDescent="0.35">
      <c r="A63" s="46" t="s">
        <v>86</v>
      </c>
      <c r="B63" s="46" t="s">
        <v>162</v>
      </c>
      <c r="C63" s="46" t="s">
        <v>178</v>
      </c>
      <c r="D63" s="46" t="s">
        <v>175</v>
      </c>
      <c r="E63" s="46">
        <v>69166</v>
      </c>
      <c r="F63" s="46">
        <v>69166</v>
      </c>
      <c r="G63" s="46" t="s">
        <v>181</v>
      </c>
      <c r="H63" s="46">
        <v>1</v>
      </c>
      <c r="I63" s="46" t="s">
        <v>243</v>
      </c>
    </row>
    <row r="64" spans="1:9" x14ac:dyDescent="0.35">
      <c r="A64" s="46" t="s">
        <v>87</v>
      </c>
      <c r="B64" s="46" t="s">
        <v>163</v>
      </c>
      <c r="C64" s="46" t="s">
        <v>178</v>
      </c>
      <c r="D64" s="46" t="s">
        <v>175</v>
      </c>
      <c r="E64" s="46">
        <v>78245</v>
      </c>
      <c r="F64" s="46">
        <v>78245</v>
      </c>
      <c r="G64" s="46" t="s">
        <v>180</v>
      </c>
      <c r="H64" s="46">
        <v>2</v>
      </c>
      <c r="I64" s="46" t="s">
        <v>244</v>
      </c>
    </row>
    <row r="65" spans="1:9" x14ac:dyDescent="0.35">
      <c r="A65" s="46" t="s">
        <v>88</v>
      </c>
      <c r="B65" s="46" t="s">
        <v>164</v>
      </c>
      <c r="C65" s="46" t="s">
        <v>168</v>
      </c>
      <c r="D65" s="46" t="s">
        <v>173</v>
      </c>
      <c r="E65" s="46">
        <v>66079</v>
      </c>
      <c r="F65" s="46">
        <v>66079</v>
      </c>
      <c r="G65" s="46" t="s">
        <v>180</v>
      </c>
      <c r="H65" s="46">
        <v>2</v>
      </c>
      <c r="I65" s="46" t="s">
        <v>245</v>
      </c>
    </row>
    <row r="66" spans="1:9" x14ac:dyDescent="0.35">
      <c r="A66" s="46" t="s">
        <v>90</v>
      </c>
      <c r="B66" s="46" t="s">
        <v>162</v>
      </c>
      <c r="C66" s="46" t="s">
        <v>168</v>
      </c>
      <c r="D66" s="46" t="s">
        <v>173</v>
      </c>
      <c r="E66" s="46">
        <v>95621</v>
      </c>
      <c r="F66" s="46">
        <v>95621</v>
      </c>
      <c r="G66" s="46" t="s">
        <v>181</v>
      </c>
      <c r="H66" s="46">
        <v>3</v>
      </c>
      <c r="I66" s="46" t="s">
        <v>246</v>
      </c>
    </row>
    <row r="67" spans="1:9" x14ac:dyDescent="0.35">
      <c r="A67" s="46" t="s">
        <v>91</v>
      </c>
      <c r="B67" s="46" t="s">
        <v>159</v>
      </c>
      <c r="C67" s="46" t="s">
        <v>169</v>
      </c>
      <c r="D67" s="46" t="s">
        <v>175</v>
      </c>
      <c r="E67" s="46">
        <v>42262</v>
      </c>
      <c r="F67" s="46">
        <v>42262</v>
      </c>
      <c r="G67" s="46" t="s">
        <v>180</v>
      </c>
      <c r="H67" s="46">
        <v>1</v>
      </c>
      <c r="I67" s="46" t="s">
        <v>247</v>
      </c>
    </row>
    <row r="68" spans="1:9" x14ac:dyDescent="0.35">
      <c r="A68" s="46" t="s">
        <v>92</v>
      </c>
      <c r="B68" s="46" t="s">
        <v>163</v>
      </c>
      <c r="C68" s="46" t="s">
        <v>168</v>
      </c>
      <c r="D68" s="46" t="s">
        <v>174</v>
      </c>
      <c r="E68" s="46">
        <v>99621</v>
      </c>
      <c r="F68" s="46">
        <v>99621</v>
      </c>
      <c r="G68" s="46" t="s">
        <v>180</v>
      </c>
      <c r="H68" s="46" t="s">
        <v>178</v>
      </c>
      <c r="I68" s="46" t="s">
        <v>248</v>
      </c>
    </row>
    <row r="69" spans="1:9" x14ac:dyDescent="0.35">
      <c r="A69" s="46" t="s">
        <v>94</v>
      </c>
      <c r="B69" s="46" t="s">
        <v>164</v>
      </c>
      <c r="C69" s="46" t="s">
        <v>166</v>
      </c>
      <c r="D69" s="46" t="s">
        <v>178</v>
      </c>
      <c r="E69" s="46">
        <v>35163</v>
      </c>
      <c r="F69" s="46">
        <v>35163</v>
      </c>
      <c r="G69" s="46" t="s">
        <v>180</v>
      </c>
      <c r="H69" s="46">
        <v>5</v>
      </c>
      <c r="I69" s="46" t="s">
        <v>249</v>
      </c>
    </row>
    <row r="70" spans="1:9" x14ac:dyDescent="0.35">
      <c r="A70" s="46" t="s">
        <v>95</v>
      </c>
      <c r="B70" s="46" t="s">
        <v>164</v>
      </c>
      <c r="C70" s="46" t="s">
        <v>169</v>
      </c>
      <c r="D70" s="46" t="s">
        <v>174</v>
      </c>
      <c r="E70" s="46">
        <v>33483</v>
      </c>
      <c r="F70" s="46">
        <v>33483</v>
      </c>
      <c r="G70" s="46" t="s">
        <v>180</v>
      </c>
      <c r="H70" s="46">
        <v>4</v>
      </c>
      <c r="I70" s="46" t="s">
        <v>250</v>
      </c>
    </row>
    <row r="71" spans="1:9" x14ac:dyDescent="0.35">
      <c r="A71" s="46" t="s">
        <v>97</v>
      </c>
      <c r="B71" s="46" t="s">
        <v>164</v>
      </c>
      <c r="C71" s="46" t="s">
        <v>169</v>
      </c>
      <c r="D71" s="46" t="s">
        <v>178</v>
      </c>
      <c r="E71" s="46">
        <v>63434</v>
      </c>
      <c r="F71" s="46">
        <v>63434</v>
      </c>
      <c r="G71" s="46" t="s">
        <v>180</v>
      </c>
      <c r="H71" s="46">
        <v>3</v>
      </c>
      <c r="I71" s="46" t="s">
        <v>251</v>
      </c>
    </row>
    <row r="72" spans="1:9" x14ac:dyDescent="0.35">
      <c r="A72" s="46" t="s">
        <v>102</v>
      </c>
      <c r="B72" s="46" t="s">
        <v>160</v>
      </c>
      <c r="C72" s="46" t="s">
        <v>178</v>
      </c>
      <c r="D72" s="46" t="s">
        <v>173</v>
      </c>
      <c r="E72" s="46">
        <v>76238</v>
      </c>
      <c r="F72" s="46">
        <v>76238</v>
      </c>
      <c r="G72" s="46" t="s">
        <v>180</v>
      </c>
      <c r="H72" s="46">
        <v>4</v>
      </c>
      <c r="I72" s="46" t="s">
        <v>252</v>
      </c>
    </row>
    <row r="73" spans="1:9" x14ac:dyDescent="0.35">
      <c r="A73" s="46" t="s">
        <v>103</v>
      </c>
      <c r="B73" s="46" t="s">
        <v>165</v>
      </c>
      <c r="C73" s="46" t="s">
        <v>169</v>
      </c>
      <c r="D73" s="46" t="s">
        <v>174</v>
      </c>
      <c r="E73" s="46">
        <v>33264</v>
      </c>
      <c r="F73" s="46">
        <v>33264</v>
      </c>
      <c r="G73" s="46" t="s">
        <v>181</v>
      </c>
      <c r="H73" s="46" t="s">
        <v>178</v>
      </c>
      <c r="I73" s="46" t="s">
        <v>253</v>
      </c>
    </row>
    <row r="74" spans="1:9" x14ac:dyDescent="0.35">
      <c r="A74" s="46" t="s">
        <v>104</v>
      </c>
      <c r="B74" s="46" t="s">
        <v>160</v>
      </c>
      <c r="C74" s="46" t="s">
        <v>166</v>
      </c>
      <c r="D74" s="46" t="s">
        <v>176</v>
      </c>
      <c r="E74" s="46">
        <v>96101</v>
      </c>
      <c r="F74" s="46">
        <v>96101</v>
      </c>
      <c r="G74" s="46" t="s">
        <v>180</v>
      </c>
      <c r="H74" s="46" t="s">
        <v>178</v>
      </c>
      <c r="I74" s="46" t="s">
        <v>254</v>
      </c>
    </row>
    <row r="75" spans="1:9" x14ac:dyDescent="0.35">
      <c r="A75" s="46" t="s">
        <v>105</v>
      </c>
      <c r="B75" s="46" t="s">
        <v>162</v>
      </c>
      <c r="C75" s="46" t="s">
        <v>166</v>
      </c>
      <c r="D75" s="46" t="s">
        <v>173</v>
      </c>
      <c r="E75" s="46">
        <v>72939</v>
      </c>
      <c r="F75" s="46">
        <v>72939</v>
      </c>
      <c r="G75" s="46" t="s">
        <v>180</v>
      </c>
      <c r="H75" s="46">
        <v>3</v>
      </c>
      <c r="I75" s="46" t="s">
        <v>255</v>
      </c>
    </row>
    <row r="76" spans="1:9" x14ac:dyDescent="0.35">
      <c r="A76" s="46" t="s">
        <v>106</v>
      </c>
      <c r="B76" s="46" t="s">
        <v>163</v>
      </c>
      <c r="C76" s="46" t="s">
        <v>167</v>
      </c>
      <c r="D76" s="46" t="s">
        <v>172</v>
      </c>
      <c r="E76" s="46">
        <v>89333</v>
      </c>
      <c r="F76" s="46">
        <v>89333</v>
      </c>
      <c r="G76" s="46" t="s">
        <v>180</v>
      </c>
      <c r="H76" s="46">
        <v>1</v>
      </c>
      <c r="I76" s="46" t="s">
        <v>256</v>
      </c>
    </row>
    <row r="77" spans="1:9" x14ac:dyDescent="0.35">
      <c r="A77" s="46" t="s">
        <v>107</v>
      </c>
      <c r="B77" s="46" t="s">
        <v>165</v>
      </c>
      <c r="C77" s="46" t="s">
        <v>169</v>
      </c>
      <c r="D77" s="46" t="s">
        <v>176</v>
      </c>
      <c r="E77" s="46">
        <v>70470</v>
      </c>
      <c r="F77" s="46">
        <v>70470</v>
      </c>
      <c r="G77" s="46" t="s">
        <v>180</v>
      </c>
      <c r="H77" s="46" t="s">
        <v>178</v>
      </c>
      <c r="I77" s="46" t="s">
        <v>257</v>
      </c>
    </row>
    <row r="78" spans="1:9" x14ac:dyDescent="0.35">
      <c r="A78" s="46" t="s">
        <v>108</v>
      </c>
      <c r="B78" s="46" t="s">
        <v>159</v>
      </c>
      <c r="C78" s="46" t="s">
        <v>170</v>
      </c>
      <c r="D78" s="46" t="s">
        <v>173</v>
      </c>
      <c r="E78" s="46">
        <v>70096</v>
      </c>
      <c r="F78" s="46">
        <v>70096</v>
      </c>
      <c r="G78" s="46" t="s">
        <v>180</v>
      </c>
      <c r="H78" s="46">
        <v>4</v>
      </c>
      <c r="I78" s="46" t="s">
        <v>258</v>
      </c>
    </row>
    <row r="79" spans="1:9" x14ac:dyDescent="0.35">
      <c r="A79" s="46" t="s">
        <v>109</v>
      </c>
      <c r="B79" s="46" t="s">
        <v>165</v>
      </c>
      <c r="C79" s="46" t="s">
        <v>170</v>
      </c>
      <c r="D79" s="46" t="s">
        <v>178</v>
      </c>
      <c r="E79" s="46">
        <v>66344</v>
      </c>
      <c r="F79" s="46">
        <v>67279.75</v>
      </c>
      <c r="G79" s="46" t="s">
        <v>180</v>
      </c>
      <c r="H79" s="46">
        <v>2</v>
      </c>
      <c r="I79" s="46" t="s">
        <v>259</v>
      </c>
    </row>
    <row r="80" spans="1:9" x14ac:dyDescent="0.35">
      <c r="A80" s="46" t="s">
        <v>111</v>
      </c>
      <c r="B80" s="46" t="s">
        <v>160</v>
      </c>
      <c r="C80" s="46" t="s">
        <v>167</v>
      </c>
      <c r="D80" s="46" t="s">
        <v>172</v>
      </c>
      <c r="E80" s="46">
        <v>42096</v>
      </c>
      <c r="F80" s="46">
        <v>42096</v>
      </c>
      <c r="G80" s="46" t="s">
        <v>181</v>
      </c>
      <c r="H80" s="46" t="s">
        <v>178</v>
      </c>
      <c r="I80" s="46" t="s">
        <v>260</v>
      </c>
    </row>
    <row r="81" spans="1:9" x14ac:dyDescent="0.35">
      <c r="A81" s="46" t="s">
        <v>115</v>
      </c>
      <c r="B81" s="46" t="s">
        <v>159</v>
      </c>
      <c r="C81" s="46" t="s">
        <v>169</v>
      </c>
      <c r="D81" s="46" t="s">
        <v>178</v>
      </c>
      <c r="E81" s="46">
        <v>48325</v>
      </c>
      <c r="F81" s="46">
        <v>48325</v>
      </c>
      <c r="G81" s="46" t="s">
        <v>180</v>
      </c>
      <c r="H81" s="46" t="s">
        <v>178</v>
      </c>
      <c r="I81" s="46" t="s">
        <v>261</v>
      </c>
    </row>
    <row r="82" spans="1:9" x14ac:dyDescent="0.35">
      <c r="A82" s="46" t="s">
        <v>117</v>
      </c>
      <c r="B82" s="46" t="s">
        <v>163</v>
      </c>
      <c r="C82" s="46" t="s">
        <v>167</v>
      </c>
      <c r="D82" s="46" t="s">
        <v>178</v>
      </c>
      <c r="E82" s="46">
        <v>66761</v>
      </c>
      <c r="F82" s="46">
        <v>66761</v>
      </c>
      <c r="G82" s="46" t="s">
        <v>180</v>
      </c>
      <c r="H82" s="46">
        <v>1</v>
      </c>
      <c r="I82" s="46" t="s">
        <v>262</v>
      </c>
    </row>
    <row r="83" spans="1:9" x14ac:dyDescent="0.35">
      <c r="A83" s="46" t="s">
        <v>118</v>
      </c>
      <c r="B83" s="46" t="s">
        <v>162</v>
      </c>
      <c r="C83" s="46" t="s">
        <v>178</v>
      </c>
      <c r="D83" s="46" t="s">
        <v>174</v>
      </c>
      <c r="E83" s="46">
        <v>88850</v>
      </c>
      <c r="F83" s="46">
        <v>88850</v>
      </c>
      <c r="G83" s="46" t="s">
        <v>181</v>
      </c>
      <c r="H83" s="46">
        <v>1</v>
      </c>
      <c r="I83" s="46" t="s">
        <v>263</v>
      </c>
    </row>
    <row r="84" spans="1:9" x14ac:dyDescent="0.35">
      <c r="A84" s="46" t="s">
        <v>119</v>
      </c>
      <c r="B84" s="46" t="s">
        <v>164</v>
      </c>
      <c r="C84" s="46" t="s">
        <v>168</v>
      </c>
      <c r="D84" s="46" t="s">
        <v>174</v>
      </c>
      <c r="E84" s="46">
        <v>31293</v>
      </c>
      <c r="F84" s="46">
        <v>31293</v>
      </c>
      <c r="G84" s="46" t="s">
        <v>181</v>
      </c>
      <c r="H84" s="46">
        <v>2</v>
      </c>
      <c r="I84" s="46" t="s">
        <v>264</v>
      </c>
    </row>
    <row r="85" spans="1:9" x14ac:dyDescent="0.35">
      <c r="A85" s="46" t="s">
        <v>122</v>
      </c>
      <c r="B85" s="46" t="s">
        <v>160</v>
      </c>
      <c r="C85" s="46" t="s">
        <v>169</v>
      </c>
      <c r="D85" s="46" t="s">
        <v>173</v>
      </c>
      <c r="E85" s="46">
        <v>47653</v>
      </c>
      <c r="F85" s="46">
        <v>47653</v>
      </c>
      <c r="G85" s="46" t="s">
        <v>180</v>
      </c>
      <c r="H85" s="46">
        <v>1</v>
      </c>
      <c r="I85" s="46" t="s">
        <v>265</v>
      </c>
    </row>
    <row r="86" spans="1:9" x14ac:dyDescent="0.35">
      <c r="A86" s="46" t="s">
        <v>126</v>
      </c>
      <c r="B86" s="46" t="s">
        <v>165</v>
      </c>
      <c r="C86" s="46" t="s">
        <v>170</v>
      </c>
      <c r="D86" s="46" t="s">
        <v>178</v>
      </c>
      <c r="E86" s="46">
        <v>73483</v>
      </c>
      <c r="F86" s="46">
        <v>73483</v>
      </c>
      <c r="G86" s="46" t="s">
        <v>180</v>
      </c>
      <c r="H86" s="46">
        <v>1</v>
      </c>
      <c r="I86" s="46" t="s">
        <v>266</v>
      </c>
    </row>
    <row r="87" spans="1:9" x14ac:dyDescent="0.35">
      <c r="A87" s="46" t="s">
        <v>127</v>
      </c>
      <c r="B87" s="46" t="s">
        <v>164</v>
      </c>
      <c r="C87" s="46" t="s">
        <v>168</v>
      </c>
      <c r="D87" s="46" t="s">
        <v>174</v>
      </c>
      <c r="E87" s="46">
        <v>95032</v>
      </c>
      <c r="F87" s="46">
        <v>95032</v>
      </c>
      <c r="G87" s="46" t="s">
        <v>180</v>
      </c>
      <c r="H87" s="46">
        <v>3</v>
      </c>
      <c r="I87" s="46" t="s">
        <v>267</v>
      </c>
    </row>
    <row r="88" spans="1:9" x14ac:dyDescent="0.35">
      <c r="A88" s="46" t="s">
        <v>129</v>
      </c>
      <c r="B88" s="46" t="s">
        <v>178</v>
      </c>
      <c r="C88" s="46" t="s">
        <v>169</v>
      </c>
      <c r="D88" s="46" t="s">
        <v>173</v>
      </c>
      <c r="E88" s="46">
        <v>66636.333333333328</v>
      </c>
      <c r="F88" s="46">
        <v>69408.5625</v>
      </c>
      <c r="G88" s="46" t="s">
        <v>178</v>
      </c>
      <c r="H88" s="46">
        <v>5</v>
      </c>
      <c r="I88" s="46" t="s">
        <v>268</v>
      </c>
    </row>
    <row r="89" spans="1:9" x14ac:dyDescent="0.35">
      <c r="A89" s="46" t="s">
        <v>130</v>
      </c>
      <c r="B89" s="46" t="s">
        <v>164</v>
      </c>
      <c r="C89" s="46" t="s">
        <v>168</v>
      </c>
      <c r="D89" s="46" t="s">
        <v>173</v>
      </c>
      <c r="E89" s="46">
        <v>45676</v>
      </c>
      <c r="F89" s="46">
        <v>45676</v>
      </c>
      <c r="G89" s="46" t="s">
        <v>180</v>
      </c>
      <c r="H89" s="46">
        <v>2</v>
      </c>
      <c r="I89" s="46" t="s">
        <v>269</v>
      </c>
    </row>
    <row r="90" spans="1:9" x14ac:dyDescent="0.35">
      <c r="A90" s="46" t="s">
        <v>131</v>
      </c>
      <c r="B90" s="46" t="s">
        <v>165</v>
      </c>
      <c r="C90" s="46" t="s">
        <v>168</v>
      </c>
      <c r="D90" s="46" t="s">
        <v>172</v>
      </c>
      <c r="E90" s="46">
        <v>52036</v>
      </c>
      <c r="F90" s="46">
        <v>52036</v>
      </c>
      <c r="G90" s="46" t="s">
        <v>180</v>
      </c>
      <c r="H90" s="46">
        <v>3</v>
      </c>
      <c r="I90" s="46" t="s">
        <v>270</v>
      </c>
    </row>
    <row r="91" spans="1:9" x14ac:dyDescent="0.35">
      <c r="A91" s="46" t="s">
        <v>133</v>
      </c>
      <c r="B91" s="46" t="s">
        <v>161</v>
      </c>
      <c r="C91" s="46" t="s">
        <v>169</v>
      </c>
      <c r="D91" s="46" t="s">
        <v>178</v>
      </c>
      <c r="E91" s="46">
        <v>60034</v>
      </c>
      <c r="F91" s="46">
        <v>60034</v>
      </c>
      <c r="G91" s="46" t="s">
        <v>181</v>
      </c>
      <c r="H91" s="46">
        <v>1</v>
      </c>
      <c r="I91" s="46" t="s">
        <v>271</v>
      </c>
    </row>
    <row r="92" spans="1:9" x14ac:dyDescent="0.35">
      <c r="A92" s="46" t="s">
        <v>134</v>
      </c>
      <c r="B92" s="46" t="s">
        <v>161</v>
      </c>
      <c r="C92" s="46" t="s">
        <v>166</v>
      </c>
      <c r="D92" s="46" t="s">
        <v>350</v>
      </c>
      <c r="E92" s="46">
        <v>90019</v>
      </c>
      <c r="F92" s="46">
        <v>90019</v>
      </c>
      <c r="G92" s="46" t="s">
        <v>180</v>
      </c>
      <c r="H92" s="46">
        <v>5</v>
      </c>
      <c r="I92" s="46" t="s">
        <v>272</v>
      </c>
    </row>
    <row r="93" spans="1:9" x14ac:dyDescent="0.35">
      <c r="A93" s="46" t="s">
        <v>135</v>
      </c>
      <c r="B93" s="46" t="s">
        <v>165</v>
      </c>
      <c r="C93" s="46" t="s">
        <v>178</v>
      </c>
      <c r="D93" s="46" t="s">
        <v>172</v>
      </c>
      <c r="E93" s="46">
        <v>71494</v>
      </c>
      <c r="F93" s="46">
        <v>71494</v>
      </c>
      <c r="G93" s="46" t="s">
        <v>180</v>
      </c>
      <c r="H93" s="46">
        <v>3</v>
      </c>
      <c r="I93" s="46" t="s">
        <v>273</v>
      </c>
    </row>
    <row r="94" spans="1:9" x14ac:dyDescent="0.35">
      <c r="A94" s="46" t="s">
        <v>137</v>
      </c>
      <c r="B94" s="46" t="s">
        <v>164</v>
      </c>
      <c r="C94" s="46" t="s">
        <v>168</v>
      </c>
      <c r="D94" s="46" t="s">
        <v>173</v>
      </c>
      <c r="E94" s="46">
        <v>30402</v>
      </c>
      <c r="F94" s="46">
        <v>30402</v>
      </c>
      <c r="G94" s="46" t="s">
        <v>180</v>
      </c>
      <c r="H94" s="46">
        <v>1</v>
      </c>
      <c r="I94" s="46" t="s">
        <v>274</v>
      </c>
    </row>
    <row r="95" spans="1:9" x14ac:dyDescent="0.35">
      <c r="A95" s="46" t="s">
        <v>141</v>
      </c>
      <c r="B95" s="46" t="s">
        <v>159</v>
      </c>
      <c r="C95" s="46" t="s">
        <v>167</v>
      </c>
      <c r="D95" s="46" t="s">
        <v>173</v>
      </c>
      <c r="E95" s="46">
        <v>38678</v>
      </c>
      <c r="F95" s="46">
        <v>38678</v>
      </c>
      <c r="G95" s="46" t="s">
        <v>180</v>
      </c>
      <c r="H95" s="46">
        <v>3</v>
      </c>
      <c r="I95" s="46" t="s">
        <v>275</v>
      </c>
    </row>
    <row r="96" spans="1:9" x14ac:dyDescent="0.35">
      <c r="A96" s="46" t="s">
        <v>146</v>
      </c>
      <c r="B96" s="46" t="s">
        <v>164</v>
      </c>
      <c r="C96" s="46" t="s">
        <v>167</v>
      </c>
      <c r="D96" s="46" t="s">
        <v>172</v>
      </c>
      <c r="E96" s="46">
        <v>84968</v>
      </c>
      <c r="F96" s="46">
        <v>84968</v>
      </c>
      <c r="G96" s="46" t="s">
        <v>180</v>
      </c>
      <c r="H96" s="46" t="s">
        <v>178</v>
      </c>
      <c r="I96" s="46" t="s">
        <v>276</v>
      </c>
    </row>
    <row r="97" spans="1:9" x14ac:dyDescent="0.35">
      <c r="A97" s="46" t="s">
        <v>152</v>
      </c>
      <c r="B97" s="46" t="s">
        <v>164</v>
      </c>
      <c r="C97" s="46" t="s">
        <v>168</v>
      </c>
      <c r="D97" s="46" t="s">
        <v>175</v>
      </c>
      <c r="E97" s="46">
        <v>91620</v>
      </c>
      <c r="F97" s="46">
        <v>91620</v>
      </c>
      <c r="G97" s="46" t="s">
        <v>180</v>
      </c>
      <c r="H97" s="46" t="s">
        <v>178</v>
      </c>
      <c r="I97" s="46" t="s">
        <v>277</v>
      </c>
    </row>
    <row r="98" spans="1:9" x14ac:dyDescent="0.35">
      <c r="A98" s="46" t="s">
        <v>153</v>
      </c>
      <c r="B98" s="46" t="s">
        <v>159</v>
      </c>
      <c r="C98" s="46" t="s">
        <v>178</v>
      </c>
      <c r="D98" s="46" t="s">
        <v>178</v>
      </c>
      <c r="E98" s="46">
        <v>94148</v>
      </c>
      <c r="F98" s="46">
        <v>94148</v>
      </c>
      <c r="G98" s="46" t="s">
        <v>180</v>
      </c>
      <c r="H98" s="46">
        <v>2</v>
      </c>
      <c r="I98" s="46" t="s">
        <v>278</v>
      </c>
    </row>
    <row r="99" spans="1:9" x14ac:dyDescent="0.35">
      <c r="A99" s="46" t="s">
        <v>156</v>
      </c>
      <c r="B99" s="46" t="s">
        <v>165</v>
      </c>
      <c r="C99" s="46" t="s">
        <v>168</v>
      </c>
      <c r="D99" s="46" t="s">
        <v>176</v>
      </c>
      <c r="E99" s="46">
        <v>65270</v>
      </c>
      <c r="F99" s="46">
        <v>65270</v>
      </c>
      <c r="G99" s="46" t="s">
        <v>180</v>
      </c>
      <c r="H99" s="46">
        <v>1</v>
      </c>
      <c r="I99" s="46" t="s">
        <v>279</v>
      </c>
    </row>
    <row r="100" spans="1:9" x14ac:dyDescent="0.35">
      <c r="A100" s="46" t="s">
        <v>158</v>
      </c>
      <c r="B100" s="46" t="s">
        <v>163</v>
      </c>
      <c r="C100" s="46" t="s">
        <v>170</v>
      </c>
      <c r="D100" s="46" t="s">
        <v>174</v>
      </c>
      <c r="E100" s="46">
        <v>98475</v>
      </c>
      <c r="F100" s="46">
        <v>98475</v>
      </c>
      <c r="G100" s="46" t="s">
        <v>180</v>
      </c>
      <c r="H100" s="46">
        <v>5</v>
      </c>
      <c r="I100" s="46" t="s">
        <v>280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opLeftCell="F1" workbookViewId="0">
      <selection activeCell="P12" sqref="P12"/>
    </sheetView>
  </sheetViews>
  <sheetFormatPr defaultRowHeight="14.5" x14ac:dyDescent="0.35"/>
  <cols>
    <col min="1" max="1" width="15.81640625" bestFit="1" customWidth="1"/>
    <col min="2" max="2" width="11.453125" bestFit="1" customWidth="1"/>
    <col min="3" max="3" width="15.6328125" style="82" bestFit="1" customWidth="1"/>
    <col min="4" max="4" width="12.08984375" bestFit="1" customWidth="1"/>
    <col min="5" max="5" width="10.36328125" bestFit="1" customWidth="1"/>
    <col min="6" max="6" width="17.81640625" style="86" bestFit="1" customWidth="1"/>
    <col min="7" max="7" width="17.81640625" bestFit="1" customWidth="1"/>
    <col min="8" max="8" width="13.7265625" customWidth="1"/>
    <col min="9" max="9" width="16.90625" bestFit="1" customWidth="1"/>
    <col min="10" max="10" width="18.26953125" bestFit="1" customWidth="1"/>
    <col min="11" max="11" width="13.90625" style="85" customWidth="1"/>
    <col min="12" max="12" width="9.7265625" style="82" bestFit="1" customWidth="1"/>
  </cols>
  <sheetData>
    <row r="1" spans="1:17" x14ac:dyDescent="0.35">
      <c r="A1" s="77" t="s">
        <v>0</v>
      </c>
      <c r="B1" s="78" t="s">
        <v>1</v>
      </c>
      <c r="C1" s="81" t="s">
        <v>354</v>
      </c>
      <c r="D1" s="78" t="s">
        <v>2</v>
      </c>
      <c r="E1" s="78" t="s">
        <v>3</v>
      </c>
      <c r="F1" s="87" t="s">
        <v>4</v>
      </c>
      <c r="G1" s="79" t="s">
        <v>5</v>
      </c>
      <c r="H1" s="78" t="s">
        <v>6</v>
      </c>
      <c r="I1" s="78" t="s">
        <v>7</v>
      </c>
      <c r="J1" s="78" t="s">
        <v>8</v>
      </c>
      <c r="K1" s="83" t="s">
        <v>353</v>
      </c>
      <c r="L1" s="81" t="s">
        <v>369</v>
      </c>
    </row>
    <row r="2" spans="1:17" ht="18.5" x14ac:dyDescent="0.45">
      <c r="A2" t="s">
        <v>9</v>
      </c>
      <c r="B2" t="s">
        <v>178</v>
      </c>
      <c r="C2" s="82" t="s">
        <v>178</v>
      </c>
      <c r="D2" t="s">
        <v>166</v>
      </c>
      <c r="E2" t="s">
        <v>171</v>
      </c>
      <c r="F2" s="76" t="s">
        <v>177</v>
      </c>
      <c r="G2" s="80">
        <v>42014</v>
      </c>
      <c r="H2">
        <v>2</v>
      </c>
      <c r="I2" t="s">
        <v>178</v>
      </c>
      <c r="J2" t="s">
        <v>182</v>
      </c>
      <c r="K2" s="84">
        <v>0</v>
      </c>
      <c r="L2" s="82" t="str">
        <f t="shared" ref="L2:L33" si="0">TRIM(D2)</f>
        <v>Finance</v>
      </c>
      <c r="N2" s="88" t="s">
        <v>370</v>
      </c>
      <c r="O2" s="89"/>
    </row>
    <row r="3" spans="1:17" x14ac:dyDescent="0.35">
      <c r="A3" t="s">
        <v>10</v>
      </c>
      <c r="B3" t="s">
        <v>355</v>
      </c>
      <c r="C3" s="82" t="s">
        <v>356</v>
      </c>
      <c r="D3" t="s">
        <v>167</v>
      </c>
      <c r="E3" t="s">
        <v>172</v>
      </c>
      <c r="F3" s="76">
        <v>54255</v>
      </c>
      <c r="G3" s="80">
        <v>42015</v>
      </c>
      <c r="H3">
        <v>1</v>
      </c>
      <c r="I3" t="s">
        <v>179</v>
      </c>
      <c r="J3" t="s">
        <v>183</v>
      </c>
      <c r="K3" s="84">
        <v>0</v>
      </c>
      <c r="L3" s="82" t="str">
        <f t="shared" si="0"/>
        <v>HR</v>
      </c>
    </row>
    <row r="4" spans="1:17" x14ac:dyDescent="0.35">
      <c r="A4" t="s">
        <v>11</v>
      </c>
      <c r="B4" t="s">
        <v>357</v>
      </c>
      <c r="C4" s="82" t="s">
        <v>358</v>
      </c>
      <c r="D4" t="s">
        <v>166</v>
      </c>
      <c r="E4" t="s">
        <v>172</v>
      </c>
      <c r="F4" s="76">
        <v>63184</v>
      </c>
      <c r="G4" s="80">
        <v>42022</v>
      </c>
      <c r="H4">
        <v>2</v>
      </c>
      <c r="I4" t="s">
        <v>178</v>
      </c>
      <c r="J4" t="s">
        <v>184</v>
      </c>
      <c r="K4" s="84">
        <v>0</v>
      </c>
      <c r="L4" s="82" t="str">
        <f t="shared" si="0"/>
        <v>Finance</v>
      </c>
      <c r="N4" s="89" t="s">
        <v>371</v>
      </c>
      <c r="O4" s="89"/>
      <c r="P4" s="89"/>
      <c r="Q4" s="89"/>
    </row>
    <row r="5" spans="1:17" x14ac:dyDescent="0.35">
      <c r="A5" t="s">
        <v>12</v>
      </c>
      <c r="B5" t="s">
        <v>359</v>
      </c>
      <c r="C5" s="82" t="s">
        <v>360</v>
      </c>
      <c r="D5" t="s">
        <v>168</v>
      </c>
      <c r="E5" t="s">
        <v>173</v>
      </c>
      <c r="F5" s="76">
        <v>94406</v>
      </c>
      <c r="G5" s="80">
        <v>42029</v>
      </c>
      <c r="H5">
        <v>1</v>
      </c>
      <c r="I5" t="s">
        <v>180</v>
      </c>
      <c r="J5" t="s">
        <v>185</v>
      </c>
      <c r="K5" s="84">
        <v>0</v>
      </c>
      <c r="L5" s="82" t="str">
        <f t="shared" si="0"/>
        <v>Sales</v>
      </c>
      <c r="N5" s="89" t="s">
        <v>372</v>
      </c>
      <c r="O5" s="89"/>
      <c r="P5" s="89"/>
      <c r="Q5" s="89"/>
    </row>
    <row r="6" spans="1:17" x14ac:dyDescent="0.35">
      <c r="A6" t="s">
        <v>13</v>
      </c>
      <c r="B6" t="s">
        <v>361</v>
      </c>
      <c r="C6" s="82" t="s">
        <v>362</v>
      </c>
      <c r="D6" t="s">
        <v>168</v>
      </c>
      <c r="E6" t="s">
        <v>172</v>
      </c>
      <c r="F6" s="76">
        <v>64120</v>
      </c>
      <c r="G6" s="80">
        <v>42036</v>
      </c>
      <c r="H6">
        <v>1</v>
      </c>
      <c r="I6" t="s">
        <v>180</v>
      </c>
      <c r="J6" t="s">
        <v>186</v>
      </c>
      <c r="K6" s="84">
        <v>0</v>
      </c>
      <c r="L6" s="82" t="str">
        <f t="shared" si="0"/>
        <v>Sales</v>
      </c>
      <c r="N6" s="89" t="s">
        <v>373</v>
      </c>
      <c r="O6" s="89"/>
      <c r="P6" s="89"/>
      <c r="Q6" s="89"/>
    </row>
    <row r="7" spans="1:17" x14ac:dyDescent="0.35">
      <c r="A7" t="s">
        <v>14</v>
      </c>
      <c r="B7" t="s">
        <v>357</v>
      </c>
      <c r="C7" s="82" t="s">
        <v>358</v>
      </c>
      <c r="D7" t="s">
        <v>169</v>
      </c>
      <c r="E7" t="s">
        <v>174</v>
      </c>
      <c r="F7" s="76">
        <v>78421</v>
      </c>
      <c r="G7" s="80">
        <v>42043</v>
      </c>
      <c r="H7">
        <v>2</v>
      </c>
      <c r="I7" t="s">
        <v>181</v>
      </c>
      <c r="J7" t="s">
        <v>187</v>
      </c>
      <c r="K7" s="84">
        <v>0</v>
      </c>
      <c r="L7" s="82" t="str">
        <f t="shared" si="0"/>
        <v>IT</v>
      </c>
    </row>
    <row r="8" spans="1:17" x14ac:dyDescent="0.35">
      <c r="A8" t="s">
        <v>15</v>
      </c>
      <c r="B8" t="s">
        <v>363</v>
      </c>
      <c r="C8" s="82" t="s">
        <v>364</v>
      </c>
      <c r="D8" t="s">
        <v>168</v>
      </c>
      <c r="E8" t="s">
        <v>178</v>
      </c>
      <c r="F8" s="76">
        <v>67721</v>
      </c>
      <c r="G8" s="80">
        <v>42050</v>
      </c>
      <c r="H8">
        <v>3</v>
      </c>
      <c r="I8" t="s">
        <v>180</v>
      </c>
      <c r="J8" t="s">
        <v>185</v>
      </c>
      <c r="K8" s="84">
        <v>0</v>
      </c>
      <c r="L8" s="82" t="str">
        <f t="shared" si="0"/>
        <v>Sales</v>
      </c>
    </row>
    <row r="9" spans="1:17" x14ac:dyDescent="0.35">
      <c r="A9" t="s">
        <v>16</v>
      </c>
      <c r="B9" t="s">
        <v>365</v>
      </c>
      <c r="C9" s="82" t="s">
        <v>366</v>
      </c>
      <c r="D9" t="s">
        <v>170</v>
      </c>
      <c r="E9" t="s">
        <v>178</v>
      </c>
      <c r="F9" s="76">
        <v>35364</v>
      </c>
      <c r="G9" s="80">
        <v>42057</v>
      </c>
      <c r="H9">
        <v>2</v>
      </c>
      <c r="I9" t="s">
        <v>179</v>
      </c>
      <c r="J9" t="s">
        <v>188</v>
      </c>
      <c r="K9" s="84">
        <v>0</v>
      </c>
      <c r="L9" s="82" t="str">
        <f t="shared" si="0"/>
        <v>Marketing</v>
      </c>
    </row>
    <row r="10" spans="1:17" x14ac:dyDescent="0.35">
      <c r="A10" t="s">
        <v>17</v>
      </c>
      <c r="B10" t="s">
        <v>357</v>
      </c>
      <c r="C10" s="82" t="s">
        <v>358</v>
      </c>
      <c r="D10" t="s">
        <v>169</v>
      </c>
      <c r="E10" t="s">
        <v>172</v>
      </c>
      <c r="F10" s="76">
        <v>97881</v>
      </c>
      <c r="G10" s="80">
        <v>42064</v>
      </c>
      <c r="H10">
        <v>3</v>
      </c>
      <c r="I10" t="s">
        <v>181</v>
      </c>
      <c r="J10" t="s">
        <v>189</v>
      </c>
      <c r="K10" s="84">
        <v>0</v>
      </c>
      <c r="L10" s="82" t="str">
        <f t="shared" si="0"/>
        <v>IT</v>
      </c>
    </row>
    <row r="11" spans="1:17" x14ac:dyDescent="0.35">
      <c r="A11" t="s">
        <v>18</v>
      </c>
      <c r="B11" t="s">
        <v>365</v>
      </c>
      <c r="C11" s="82" t="s">
        <v>366</v>
      </c>
      <c r="D11" t="s">
        <v>167</v>
      </c>
      <c r="E11" t="s">
        <v>175</v>
      </c>
      <c r="F11" s="76">
        <v>91846</v>
      </c>
      <c r="G11" s="80">
        <v>42071</v>
      </c>
      <c r="H11">
        <v>3</v>
      </c>
      <c r="I11" t="s">
        <v>180</v>
      </c>
      <c r="J11" t="s">
        <v>190</v>
      </c>
      <c r="K11" s="84">
        <v>0</v>
      </c>
      <c r="L11" s="82" t="str">
        <f t="shared" si="0"/>
        <v>HR</v>
      </c>
    </row>
    <row r="12" spans="1:17" x14ac:dyDescent="0.35">
      <c r="A12" t="s">
        <v>19</v>
      </c>
      <c r="B12" t="s">
        <v>363</v>
      </c>
      <c r="C12" s="82" t="s">
        <v>364</v>
      </c>
      <c r="D12" t="s">
        <v>166</v>
      </c>
      <c r="E12" t="s">
        <v>175</v>
      </c>
      <c r="F12" s="76">
        <v>64247</v>
      </c>
      <c r="G12" s="80">
        <v>42078</v>
      </c>
      <c r="H12">
        <v>1</v>
      </c>
      <c r="I12" t="s">
        <v>181</v>
      </c>
      <c r="J12" t="s">
        <v>191</v>
      </c>
      <c r="K12" s="84">
        <v>0</v>
      </c>
      <c r="L12" s="82" t="str">
        <f t="shared" si="0"/>
        <v>Finance</v>
      </c>
    </row>
    <row r="13" spans="1:17" x14ac:dyDescent="0.35">
      <c r="A13" t="s">
        <v>20</v>
      </c>
      <c r="B13" t="s">
        <v>363</v>
      </c>
      <c r="C13" s="82" t="s">
        <v>364</v>
      </c>
      <c r="D13" t="s">
        <v>169</v>
      </c>
      <c r="E13" t="s">
        <v>173</v>
      </c>
      <c r="F13" s="76">
        <v>91180</v>
      </c>
      <c r="G13" s="80">
        <v>42085</v>
      </c>
      <c r="H13">
        <v>5</v>
      </c>
      <c r="I13" t="s">
        <v>180</v>
      </c>
      <c r="J13" t="s">
        <v>192</v>
      </c>
      <c r="K13" s="84">
        <v>0</v>
      </c>
      <c r="L13" s="82" t="str">
        <f t="shared" si="0"/>
        <v>IT</v>
      </c>
    </row>
    <row r="14" spans="1:17" x14ac:dyDescent="0.35">
      <c r="A14" t="s">
        <v>21</v>
      </c>
      <c r="B14" t="s">
        <v>367</v>
      </c>
      <c r="C14" s="82" t="s">
        <v>368</v>
      </c>
      <c r="D14" t="s">
        <v>168</v>
      </c>
      <c r="E14" t="s">
        <v>178</v>
      </c>
      <c r="F14" s="76">
        <v>96418</v>
      </c>
      <c r="G14" s="80">
        <v>42092</v>
      </c>
      <c r="H14">
        <v>5</v>
      </c>
      <c r="I14" t="s">
        <v>180</v>
      </c>
      <c r="J14" t="s">
        <v>183</v>
      </c>
      <c r="K14" s="84">
        <v>0</v>
      </c>
      <c r="L14" s="82" t="str">
        <f t="shared" si="0"/>
        <v>Sales</v>
      </c>
    </row>
    <row r="15" spans="1:17" x14ac:dyDescent="0.35">
      <c r="A15" t="s">
        <v>22</v>
      </c>
      <c r="B15" t="s">
        <v>363</v>
      </c>
      <c r="C15" s="82" t="s">
        <v>364</v>
      </c>
      <c r="D15" t="s">
        <v>178</v>
      </c>
      <c r="E15" t="s">
        <v>174</v>
      </c>
      <c r="F15" s="76">
        <v>62158</v>
      </c>
      <c r="G15" s="80">
        <v>42099</v>
      </c>
      <c r="H15">
        <v>4</v>
      </c>
      <c r="I15" t="s">
        <v>178</v>
      </c>
      <c r="J15" t="s">
        <v>193</v>
      </c>
      <c r="K15" s="84">
        <v>0</v>
      </c>
      <c r="L15" s="82" t="str">
        <f t="shared" si="0"/>
        <v>Unknown</v>
      </c>
    </row>
    <row r="16" spans="1:17" x14ac:dyDescent="0.35">
      <c r="A16" t="s">
        <v>23</v>
      </c>
      <c r="B16" t="s">
        <v>361</v>
      </c>
      <c r="C16" s="82" t="s">
        <v>362</v>
      </c>
      <c r="D16" t="s">
        <v>167</v>
      </c>
      <c r="E16" t="s">
        <v>178</v>
      </c>
      <c r="F16" s="76">
        <v>59894</v>
      </c>
      <c r="G16" s="80">
        <v>42106</v>
      </c>
      <c r="H16">
        <v>2</v>
      </c>
      <c r="I16" t="s">
        <v>180</v>
      </c>
      <c r="J16" t="s">
        <v>194</v>
      </c>
      <c r="K16" s="84">
        <v>0</v>
      </c>
      <c r="L16" s="82" t="str">
        <f t="shared" si="0"/>
        <v>HR</v>
      </c>
    </row>
    <row r="17" spans="1:12" x14ac:dyDescent="0.35">
      <c r="A17" t="s">
        <v>24</v>
      </c>
      <c r="B17" t="s">
        <v>178</v>
      </c>
      <c r="C17" s="82" t="s">
        <v>178</v>
      </c>
      <c r="D17" t="s">
        <v>169</v>
      </c>
      <c r="E17" t="s">
        <v>174</v>
      </c>
      <c r="F17" s="76">
        <v>92443</v>
      </c>
      <c r="G17" s="80">
        <v>42113</v>
      </c>
      <c r="H17">
        <v>3</v>
      </c>
      <c r="I17" t="s">
        <v>179</v>
      </c>
      <c r="J17" t="s">
        <v>195</v>
      </c>
      <c r="K17" s="84">
        <v>0</v>
      </c>
      <c r="L17" s="82" t="str">
        <f t="shared" si="0"/>
        <v>IT</v>
      </c>
    </row>
    <row r="18" spans="1:12" x14ac:dyDescent="0.35">
      <c r="A18" t="s">
        <v>25</v>
      </c>
      <c r="B18" t="s">
        <v>367</v>
      </c>
      <c r="C18" s="82" t="s">
        <v>368</v>
      </c>
      <c r="D18" t="s">
        <v>178</v>
      </c>
      <c r="E18" t="s">
        <v>172</v>
      </c>
      <c r="F18" s="76">
        <v>90271</v>
      </c>
      <c r="G18" s="80">
        <v>42120</v>
      </c>
      <c r="H18">
        <v>3</v>
      </c>
      <c r="I18" t="s">
        <v>178</v>
      </c>
      <c r="J18" t="s">
        <v>196</v>
      </c>
      <c r="K18" s="84">
        <v>0</v>
      </c>
      <c r="L18" s="82" t="str">
        <f t="shared" si="0"/>
        <v>Unknown</v>
      </c>
    </row>
    <row r="19" spans="1:12" x14ac:dyDescent="0.35">
      <c r="A19" t="s">
        <v>26</v>
      </c>
      <c r="B19" t="s">
        <v>361</v>
      </c>
      <c r="C19" s="82" t="s">
        <v>362</v>
      </c>
      <c r="D19" t="s">
        <v>166</v>
      </c>
      <c r="E19" t="s">
        <v>176</v>
      </c>
      <c r="F19" s="76">
        <v>41341</v>
      </c>
      <c r="G19" s="80">
        <v>42127</v>
      </c>
      <c r="H19">
        <v>1</v>
      </c>
      <c r="I19" t="s">
        <v>179</v>
      </c>
      <c r="J19" t="s">
        <v>197</v>
      </c>
      <c r="K19" s="84">
        <v>0</v>
      </c>
      <c r="L19" s="82" t="str">
        <f t="shared" si="0"/>
        <v>Finance</v>
      </c>
    </row>
    <row r="20" spans="1:12" x14ac:dyDescent="0.35">
      <c r="A20" t="s">
        <v>27</v>
      </c>
      <c r="B20" t="s">
        <v>357</v>
      </c>
      <c r="C20" s="82" t="s">
        <v>358</v>
      </c>
      <c r="D20" t="s">
        <v>166</v>
      </c>
      <c r="E20" t="s">
        <v>175</v>
      </c>
      <c r="F20" s="76">
        <v>73602</v>
      </c>
      <c r="G20" s="80">
        <v>42134</v>
      </c>
      <c r="H20">
        <v>3</v>
      </c>
      <c r="I20" t="s">
        <v>178</v>
      </c>
      <c r="J20" t="s">
        <v>198</v>
      </c>
      <c r="K20" s="84">
        <v>0</v>
      </c>
      <c r="L20" s="82" t="str">
        <f t="shared" si="0"/>
        <v>Finance</v>
      </c>
    </row>
    <row r="21" spans="1:12" x14ac:dyDescent="0.35">
      <c r="A21" t="s">
        <v>28</v>
      </c>
      <c r="B21" t="s">
        <v>355</v>
      </c>
      <c r="C21" s="82" t="s">
        <v>356</v>
      </c>
      <c r="D21" t="s">
        <v>178</v>
      </c>
      <c r="E21" t="s">
        <v>174</v>
      </c>
      <c r="F21" s="76">
        <v>67531</v>
      </c>
      <c r="G21" s="80">
        <v>42141</v>
      </c>
      <c r="H21">
        <v>5</v>
      </c>
      <c r="I21" t="s">
        <v>181</v>
      </c>
      <c r="J21" t="s">
        <v>199</v>
      </c>
      <c r="K21" s="84">
        <v>0</v>
      </c>
      <c r="L21" s="82" t="str">
        <f t="shared" si="0"/>
        <v>Unknown</v>
      </c>
    </row>
    <row r="22" spans="1:12" x14ac:dyDescent="0.35">
      <c r="A22" t="s">
        <v>29</v>
      </c>
      <c r="B22" t="s">
        <v>361</v>
      </c>
      <c r="C22" s="82" t="s">
        <v>362</v>
      </c>
      <c r="D22" t="s">
        <v>167</v>
      </c>
      <c r="E22" t="s">
        <v>173</v>
      </c>
      <c r="F22" s="76" t="s">
        <v>177</v>
      </c>
      <c r="G22" s="80">
        <v>42148</v>
      </c>
      <c r="H22">
        <v>2</v>
      </c>
      <c r="I22" t="s">
        <v>179</v>
      </c>
      <c r="J22" t="s">
        <v>200</v>
      </c>
      <c r="K22" s="84">
        <v>0</v>
      </c>
      <c r="L22" s="82" t="str">
        <f t="shared" si="0"/>
        <v>HR</v>
      </c>
    </row>
    <row r="23" spans="1:12" x14ac:dyDescent="0.35">
      <c r="A23" t="s">
        <v>30</v>
      </c>
      <c r="B23" t="s">
        <v>361</v>
      </c>
      <c r="C23" s="82" t="s">
        <v>362</v>
      </c>
      <c r="D23" t="s">
        <v>167</v>
      </c>
      <c r="E23" t="s">
        <v>178</v>
      </c>
      <c r="F23" s="76">
        <v>98922</v>
      </c>
      <c r="G23" s="80">
        <v>42155</v>
      </c>
      <c r="H23">
        <v>4</v>
      </c>
      <c r="I23" t="s">
        <v>178</v>
      </c>
      <c r="J23" t="s">
        <v>201</v>
      </c>
      <c r="K23" s="84">
        <v>0</v>
      </c>
      <c r="L23" s="82" t="str">
        <f t="shared" si="0"/>
        <v>HR</v>
      </c>
    </row>
    <row r="24" spans="1:12" x14ac:dyDescent="0.35">
      <c r="A24" t="s">
        <v>31</v>
      </c>
      <c r="B24" t="s">
        <v>355</v>
      </c>
      <c r="C24" s="82" t="s">
        <v>356</v>
      </c>
      <c r="D24" t="s">
        <v>166</v>
      </c>
      <c r="E24" t="s">
        <v>174</v>
      </c>
      <c r="F24" s="76">
        <v>38333</v>
      </c>
      <c r="G24" s="80">
        <v>42162</v>
      </c>
      <c r="H24">
        <v>5</v>
      </c>
      <c r="I24" t="s">
        <v>178</v>
      </c>
      <c r="J24" t="s">
        <v>202</v>
      </c>
      <c r="K24" s="84">
        <v>0</v>
      </c>
      <c r="L24" s="82" t="str">
        <f t="shared" si="0"/>
        <v>Finance</v>
      </c>
    </row>
    <row r="25" spans="1:12" x14ac:dyDescent="0.35">
      <c r="A25" t="s">
        <v>32</v>
      </c>
      <c r="B25" t="s">
        <v>357</v>
      </c>
      <c r="C25" s="82" t="s">
        <v>358</v>
      </c>
      <c r="D25" t="s">
        <v>170</v>
      </c>
      <c r="E25" t="s">
        <v>175</v>
      </c>
      <c r="F25" s="76">
        <v>36515</v>
      </c>
      <c r="G25" s="80">
        <v>42169</v>
      </c>
      <c r="H25">
        <v>3</v>
      </c>
      <c r="I25" t="s">
        <v>180</v>
      </c>
      <c r="J25" t="s">
        <v>203</v>
      </c>
      <c r="K25" s="84">
        <v>0</v>
      </c>
      <c r="L25" s="82" t="str">
        <f t="shared" si="0"/>
        <v>Marketing</v>
      </c>
    </row>
    <row r="26" spans="1:12" x14ac:dyDescent="0.35">
      <c r="A26" t="s">
        <v>33</v>
      </c>
      <c r="B26" t="s">
        <v>363</v>
      </c>
      <c r="C26" s="82" t="s">
        <v>364</v>
      </c>
      <c r="D26" t="s">
        <v>166</v>
      </c>
      <c r="E26" t="s">
        <v>178</v>
      </c>
      <c r="F26" s="76">
        <v>91005</v>
      </c>
      <c r="G26" s="80">
        <v>42176</v>
      </c>
      <c r="H26">
        <v>1</v>
      </c>
      <c r="I26" t="s">
        <v>179</v>
      </c>
      <c r="J26" t="s">
        <v>204</v>
      </c>
      <c r="K26" s="84">
        <v>0</v>
      </c>
      <c r="L26" s="82" t="str">
        <f t="shared" si="0"/>
        <v>Finance</v>
      </c>
    </row>
    <row r="27" spans="1:12" x14ac:dyDescent="0.35">
      <c r="A27" t="s">
        <v>34</v>
      </c>
      <c r="B27" t="s">
        <v>365</v>
      </c>
      <c r="C27" s="82" t="s">
        <v>366</v>
      </c>
      <c r="D27" t="s">
        <v>178</v>
      </c>
      <c r="E27" t="s">
        <v>171</v>
      </c>
      <c r="F27" s="76">
        <v>52272</v>
      </c>
      <c r="G27" s="80">
        <v>42183</v>
      </c>
      <c r="H27">
        <v>3</v>
      </c>
      <c r="I27" t="s">
        <v>178</v>
      </c>
      <c r="J27" t="s">
        <v>205</v>
      </c>
      <c r="K27" s="84">
        <v>0</v>
      </c>
      <c r="L27" s="82" t="str">
        <f t="shared" si="0"/>
        <v>Unknown</v>
      </c>
    </row>
    <row r="28" spans="1:12" x14ac:dyDescent="0.35">
      <c r="A28" t="s">
        <v>35</v>
      </c>
      <c r="B28" t="s">
        <v>355</v>
      </c>
      <c r="C28" s="82" t="s">
        <v>356</v>
      </c>
      <c r="D28" t="s">
        <v>168</v>
      </c>
      <c r="E28" t="s">
        <v>172</v>
      </c>
      <c r="F28" s="76">
        <v>76518</v>
      </c>
      <c r="G28" s="80">
        <v>42190</v>
      </c>
      <c r="H28">
        <v>2</v>
      </c>
      <c r="I28" t="s">
        <v>181</v>
      </c>
      <c r="J28" t="s">
        <v>206</v>
      </c>
      <c r="K28" s="84">
        <v>0</v>
      </c>
      <c r="L28" s="82" t="str">
        <f t="shared" si="0"/>
        <v>Sales</v>
      </c>
    </row>
    <row r="29" spans="1:12" x14ac:dyDescent="0.35">
      <c r="A29" t="s">
        <v>36</v>
      </c>
      <c r="B29" t="s">
        <v>357</v>
      </c>
      <c r="C29" s="82" t="s">
        <v>358</v>
      </c>
      <c r="D29" t="s">
        <v>169</v>
      </c>
      <c r="E29" t="s">
        <v>175</v>
      </c>
      <c r="F29" s="76">
        <v>41448</v>
      </c>
      <c r="G29" s="80">
        <v>42197</v>
      </c>
      <c r="H29">
        <v>3</v>
      </c>
      <c r="I29" t="s">
        <v>179</v>
      </c>
      <c r="J29" t="s">
        <v>207</v>
      </c>
      <c r="K29" s="84">
        <v>0</v>
      </c>
      <c r="L29" s="82" t="str">
        <f t="shared" si="0"/>
        <v>IT</v>
      </c>
    </row>
    <row r="30" spans="1:12" x14ac:dyDescent="0.35">
      <c r="A30" t="s">
        <v>37</v>
      </c>
      <c r="B30" t="s">
        <v>359</v>
      </c>
      <c r="C30" s="82" t="s">
        <v>360</v>
      </c>
      <c r="D30" t="s">
        <v>167</v>
      </c>
      <c r="E30" t="s">
        <v>175</v>
      </c>
      <c r="F30" s="76">
        <v>49282</v>
      </c>
      <c r="G30" s="80">
        <v>42204</v>
      </c>
      <c r="H30">
        <v>2</v>
      </c>
      <c r="I30" t="s">
        <v>181</v>
      </c>
      <c r="J30" t="s">
        <v>208</v>
      </c>
      <c r="K30" s="84">
        <v>0</v>
      </c>
      <c r="L30" s="82" t="str">
        <f t="shared" si="0"/>
        <v>HR</v>
      </c>
    </row>
    <row r="31" spans="1:12" x14ac:dyDescent="0.35">
      <c r="A31" t="s">
        <v>38</v>
      </c>
      <c r="B31" t="s">
        <v>367</v>
      </c>
      <c r="C31" s="82" t="s">
        <v>368</v>
      </c>
      <c r="D31" t="s">
        <v>170</v>
      </c>
      <c r="E31" t="s">
        <v>175</v>
      </c>
      <c r="F31" s="76">
        <v>92959</v>
      </c>
      <c r="G31" s="80">
        <v>42211</v>
      </c>
      <c r="H31">
        <v>5</v>
      </c>
      <c r="I31" t="s">
        <v>178</v>
      </c>
      <c r="J31" t="s">
        <v>209</v>
      </c>
      <c r="K31" s="84">
        <v>0</v>
      </c>
      <c r="L31" s="82" t="str">
        <f t="shared" si="0"/>
        <v>Marketing</v>
      </c>
    </row>
    <row r="32" spans="1:12" x14ac:dyDescent="0.35">
      <c r="A32" t="s">
        <v>39</v>
      </c>
      <c r="B32" t="s">
        <v>178</v>
      </c>
      <c r="C32"/>
      <c r="D32" t="s">
        <v>170</v>
      </c>
      <c r="E32" t="s">
        <v>178</v>
      </c>
      <c r="F32" s="76">
        <v>92259</v>
      </c>
      <c r="G32" s="80" t="s">
        <v>351</v>
      </c>
      <c r="H32">
        <v>1</v>
      </c>
      <c r="I32" t="s">
        <v>178</v>
      </c>
      <c r="J32" t="s">
        <v>210</v>
      </c>
      <c r="K32" s="84" t="s">
        <v>352</v>
      </c>
      <c r="L32" s="82" t="str">
        <f t="shared" si="0"/>
        <v>Marketing</v>
      </c>
    </row>
    <row r="33" spans="1:12" x14ac:dyDescent="0.35">
      <c r="A33" t="s">
        <v>40</v>
      </c>
      <c r="B33" t="s">
        <v>355</v>
      </c>
      <c r="C33" s="82" t="s">
        <v>356</v>
      </c>
      <c r="D33" t="s">
        <v>167</v>
      </c>
      <c r="E33" t="s">
        <v>172</v>
      </c>
      <c r="F33" s="76">
        <v>92299</v>
      </c>
      <c r="G33" s="80">
        <v>42225</v>
      </c>
      <c r="H33">
        <v>3</v>
      </c>
      <c r="I33" t="s">
        <v>180</v>
      </c>
      <c r="J33" t="s">
        <v>211</v>
      </c>
      <c r="K33" s="84">
        <v>0</v>
      </c>
      <c r="L33" s="82" t="str">
        <f t="shared" si="0"/>
        <v>HR</v>
      </c>
    </row>
    <row r="34" spans="1:12" x14ac:dyDescent="0.35">
      <c r="A34" t="s">
        <v>41</v>
      </c>
      <c r="B34" t="s">
        <v>363</v>
      </c>
      <c r="C34" s="82" t="s">
        <v>364</v>
      </c>
      <c r="D34" t="s">
        <v>167</v>
      </c>
      <c r="E34" t="s">
        <v>178</v>
      </c>
      <c r="F34" s="76">
        <v>95586</v>
      </c>
      <c r="G34" s="80">
        <v>42232</v>
      </c>
      <c r="H34">
        <v>3</v>
      </c>
      <c r="I34" t="s">
        <v>179</v>
      </c>
      <c r="J34" t="s">
        <v>212</v>
      </c>
      <c r="K34" s="84">
        <v>0</v>
      </c>
      <c r="L34" s="82" t="str">
        <f t="shared" ref="L34:L65" si="1">TRIM(D34)</f>
        <v>HR</v>
      </c>
    </row>
    <row r="35" spans="1:12" x14ac:dyDescent="0.35">
      <c r="A35" t="s">
        <v>42</v>
      </c>
      <c r="B35" t="s">
        <v>365</v>
      </c>
      <c r="C35" s="82" t="s">
        <v>366</v>
      </c>
      <c r="D35" t="s">
        <v>178</v>
      </c>
      <c r="E35" t="s">
        <v>173</v>
      </c>
      <c r="F35" s="76">
        <v>95367</v>
      </c>
      <c r="G35" s="80">
        <v>42239</v>
      </c>
      <c r="H35">
        <v>3</v>
      </c>
      <c r="I35" t="s">
        <v>180</v>
      </c>
      <c r="J35" t="s">
        <v>213</v>
      </c>
      <c r="K35" s="84">
        <v>0</v>
      </c>
      <c r="L35" s="82" t="str">
        <f t="shared" si="1"/>
        <v>Unknown</v>
      </c>
    </row>
    <row r="36" spans="1:12" x14ac:dyDescent="0.35">
      <c r="A36" t="s">
        <v>43</v>
      </c>
      <c r="B36" t="s">
        <v>359</v>
      </c>
      <c r="C36" s="82" t="s">
        <v>360</v>
      </c>
      <c r="D36" t="s">
        <v>168</v>
      </c>
      <c r="E36" t="s">
        <v>176</v>
      </c>
      <c r="F36" s="76">
        <v>79549</v>
      </c>
      <c r="G36" s="80">
        <v>42246</v>
      </c>
      <c r="H36">
        <v>3</v>
      </c>
      <c r="I36" t="s">
        <v>178</v>
      </c>
      <c r="J36" t="s">
        <v>214</v>
      </c>
      <c r="K36" s="84">
        <v>0</v>
      </c>
      <c r="L36" s="82" t="str">
        <f t="shared" si="1"/>
        <v>Sales</v>
      </c>
    </row>
    <row r="37" spans="1:12" x14ac:dyDescent="0.35">
      <c r="A37" t="s">
        <v>44</v>
      </c>
      <c r="B37" t="s">
        <v>357</v>
      </c>
      <c r="C37" s="82" t="s">
        <v>358</v>
      </c>
      <c r="D37" t="s">
        <v>178</v>
      </c>
      <c r="E37" t="s">
        <v>175</v>
      </c>
      <c r="F37" s="76">
        <v>54463</v>
      </c>
      <c r="G37" s="80">
        <v>42253</v>
      </c>
      <c r="H37">
        <v>4</v>
      </c>
      <c r="I37" t="s">
        <v>180</v>
      </c>
      <c r="J37" t="s">
        <v>182</v>
      </c>
      <c r="K37" s="84">
        <v>0</v>
      </c>
      <c r="L37" s="82" t="str">
        <f t="shared" si="1"/>
        <v>Unknown</v>
      </c>
    </row>
    <row r="38" spans="1:12" x14ac:dyDescent="0.35">
      <c r="A38" t="s">
        <v>45</v>
      </c>
      <c r="B38" t="s">
        <v>357</v>
      </c>
      <c r="C38" s="82" t="s">
        <v>358</v>
      </c>
      <c r="D38" t="s">
        <v>169</v>
      </c>
      <c r="E38" t="s">
        <v>173</v>
      </c>
      <c r="F38" s="76">
        <v>89781</v>
      </c>
      <c r="G38" s="80">
        <v>42260</v>
      </c>
      <c r="H38">
        <v>3</v>
      </c>
      <c r="I38" t="s">
        <v>181</v>
      </c>
      <c r="J38" t="s">
        <v>215</v>
      </c>
      <c r="K38" s="84">
        <v>0</v>
      </c>
      <c r="L38" s="82" t="str">
        <f t="shared" si="1"/>
        <v>IT</v>
      </c>
    </row>
    <row r="39" spans="1:12" x14ac:dyDescent="0.35">
      <c r="A39" t="s">
        <v>46</v>
      </c>
      <c r="B39" t="s">
        <v>357</v>
      </c>
      <c r="C39" s="82" t="s">
        <v>358</v>
      </c>
      <c r="D39" t="s">
        <v>167</v>
      </c>
      <c r="E39" t="s">
        <v>178</v>
      </c>
      <c r="F39" s="76">
        <v>64796</v>
      </c>
      <c r="G39" s="80">
        <v>42267</v>
      </c>
      <c r="H39">
        <v>3</v>
      </c>
      <c r="I39" t="s">
        <v>179</v>
      </c>
      <c r="J39" t="s">
        <v>216</v>
      </c>
      <c r="K39" s="84">
        <v>0</v>
      </c>
      <c r="L39" s="82" t="str">
        <f t="shared" si="1"/>
        <v>HR</v>
      </c>
    </row>
    <row r="40" spans="1:12" x14ac:dyDescent="0.35">
      <c r="A40" t="s">
        <v>47</v>
      </c>
      <c r="B40" t="s">
        <v>359</v>
      </c>
      <c r="C40" s="82" t="s">
        <v>360</v>
      </c>
      <c r="D40" t="s">
        <v>170</v>
      </c>
      <c r="E40" t="s">
        <v>175</v>
      </c>
      <c r="F40" s="76">
        <v>52093</v>
      </c>
      <c r="G40" s="80">
        <v>42274</v>
      </c>
      <c r="H40">
        <v>5</v>
      </c>
      <c r="I40" t="s">
        <v>178</v>
      </c>
      <c r="J40" t="s">
        <v>217</v>
      </c>
      <c r="K40" s="84">
        <v>0</v>
      </c>
      <c r="L40" s="82" t="str">
        <f t="shared" si="1"/>
        <v>Marketing</v>
      </c>
    </row>
    <row r="41" spans="1:12" x14ac:dyDescent="0.35">
      <c r="A41" t="s">
        <v>48</v>
      </c>
      <c r="B41" t="s">
        <v>365</v>
      </c>
      <c r="C41" s="82" t="s">
        <v>366</v>
      </c>
      <c r="D41" t="s">
        <v>167</v>
      </c>
      <c r="E41" t="s">
        <v>175</v>
      </c>
      <c r="F41" s="76">
        <v>48224</v>
      </c>
      <c r="G41" s="80">
        <v>42281</v>
      </c>
      <c r="H41">
        <v>3</v>
      </c>
      <c r="I41" t="s">
        <v>178</v>
      </c>
      <c r="J41" t="s">
        <v>218</v>
      </c>
      <c r="K41" s="84">
        <v>0</v>
      </c>
      <c r="L41" s="82" t="str">
        <f t="shared" si="1"/>
        <v>HR</v>
      </c>
    </row>
    <row r="42" spans="1:12" x14ac:dyDescent="0.35">
      <c r="A42" t="s">
        <v>49</v>
      </c>
      <c r="B42" t="s">
        <v>367</v>
      </c>
      <c r="C42" s="82" t="s">
        <v>368</v>
      </c>
      <c r="D42" t="s">
        <v>166</v>
      </c>
      <c r="E42" t="s">
        <v>175</v>
      </c>
      <c r="F42" s="76" t="s">
        <v>177</v>
      </c>
      <c r="G42" s="80">
        <v>42288</v>
      </c>
      <c r="H42">
        <v>4</v>
      </c>
      <c r="I42" t="s">
        <v>181</v>
      </c>
      <c r="J42" t="s">
        <v>219</v>
      </c>
      <c r="K42" s="84">
        <v>0</v>
      </c>
      <c r="L42" s="82" t="str">
        <f t="shared" si="1"/>
        <v>Finance</v>
      </c>
    </row>
    <row r="43" spans="1:12" x14ac:dyDescent="0.35">
      <c r="A43" t="s">
        <v>50</v>
      </c>
      <c r="B43" t="s">
        <v>357</v>
      </c>
      <c r="C43" s="82" t="s">
        <v>358</v>
      </c>
      <c r="D43" t="s">
        <v>169</v>
      </c>
      <c r="E43" t="s">
        <v>172</v>
      </c>
      <c r="F43" s="76">
        <v>33956</v>
      </c>
      <c r="G43" s="80">
        <v>42295</v>
      </c>
      <c r="H43">
        <v>3</v>
      </c>
      <c r="I43" t="s">
        <v>178</v>
      </c>
      <c r="J43" t="s">
        <v>220</v>
      </c>
      <c r="K43" s="84">
        <v>0</v>
      </c>
      <c r="L43" s="82" t="str">
        <f t="shared" si="1"/>
        <v>IT</v>
      </c>
    </row>
    <row r="44" spans="1:12" x14ac:dyDescent="0.35">
      <c r="A44" t="s">
        <v>51</v>
      </c>
      <c r="B44" t="s">
        <v>367</v>
      </c>
      <c r="C44" s="82" t="s">
        <v>368</v>
      </c>
      <c r="D44" t="s">
        <v>178</v>
      </c>
      <c r="E44" t="s">
        <v>176</v>
      </c>
      <c r="F44" s="76">
        <v>64913</v>
      </c>
      <c r="G44" s="80">
        <v>42302</v>
      </c>
      <c r="H44">
        <v>1</v>
      </c>
      <c r="I44" t="s">
        <v>181</v>
      </c>
      <c r="J44" t="s">
        <v>221</v>
      </c>
      <c r="K44" s="84">
        <v>0</v>
      </c>
      <c r="L44" s="82" t="str">
        <f t="shared" si="1"/>
        <v>Unknown</v>
      </c>
    </row>
    <row r="45" spans="1:12" x14ac:dyDescent="0.35">
      <c r="A45" t="s">
        <v>52</v>
      </c>
      <c r="B45" t="s">
        <v>357</v>
      </c>
      <c r="C45" s="82" t="s">
        <v>358</v>
      </c>
      <c r="D45" t="s">
        <v>170</v>
      </c>
      <c r="E45" t="s">
        <v>176</v>
      </c>
      <c r="F45" s="76">
        <v>35326</v>
      </c>
      <c r="G45" s="80">
        <v>42309</v>
      </c>
      <c r="H45">
        <v>3</v>
      </c>
      <c r="I45" t="s">
        <v>181</v>
      </c>
      <c r="J45" t="s">
        <v>222</v>
      </c>
      <c r="K45" s="84">
        <v>0</v>
      </c>
      <c r="L45" s="82" t="str">
        <f t="shared" si="1"/>
        <v>Marketing</v>
      </c>
    </row>
    <row r="46" spans="1:12" x14ac:dyDescent="0.35">
      <c r="A46" t="s">
        <v>53</v>
      </c>
      <c r="B46" t="s">
        <v>365</v>
      </c>
      <c r="C46" s="82" t="s">
        <v>366</v>
      </c>
      <c r="D46" t="s">
        <v>166</v>
      </c>
      <c r="E46" t="s">
        <v>178</v>
      </c>
      <c r="F46" s="76">
        <v>81610</v>
      </c>
      <c r="G46" s="80">
        <v>42316</v>
      </c>
      <c r="H46">
        <v>1</v>
      </c>
      <c r="I46" t="s">
        <v>178</v>
      </c>
      <c r="J46" t="s">
        <v>223</v>
      </c>
      <c r="K46" s="84">
        <v>0</v>
      </c>
      <c r="L46" s="82" t="str">
        <f t="shared" si="1"/>
        <v>Finance</v>
      </c>
    </row>
    <row r="47" spans="1:12" x14ac:dyDescent="0.35">
      <c r="A47" t="s">
        <v>54</v>
      </c>
      <c r="B47" t="s">
        <v>178</v>
      </c>
      <c r="C47"/>
      <c r="D47" t="s">
        <v>167</v>
      </c>
      <c r="E47" t="s">
        <v>178</v>
      </c>
      <c r="F47" s="76">
        <v>58962</v>
      </c>
      <c r="G47" s="80">
        <v>42323</v>
      </c>
      <c r="H47">
        <v>3</v>
      </c>
      <c r="I47" t="s">
        <v>179</v>
      </c>
      <c r="J47" t="s">
        <v>183</v>
      </c>
      <c r="K47" s="84">
        <v>0</v>
      </c>
      <c r="L47" s="82" t="str">
        <f t="shared" si="1"/>
        <v>HR</v>
      </c>
    </row>
    <row r="48" spans="1:12" x14ac:dyDescent="0.35">
      <c r="A48" t="s">
        <v>55</v>
      </c>
      <c r="B48" t="s">
        <v>365</v>
      </c>
      <c r="C48" s="82" t="s">
        <v>366</v>
      </c>
      <c r="D48" t="s">
        <v>169</v>
      </c>
      <c r="E48" t="s">
        <v>172</v>
      </c>
      <c r="F48" s="76">
        <v>92701</v>
      </c>
      <c r="G48" s="80">
        <v>42330</v>
      </c>
      <c r="H48">
        <v>3</v>
      </c>
      <c r="I48" t="s">
        <v>179</v>
      </c>
      <c r="J48" t="s">
        <v>224</v>
      </c>
      <c r="K48" s="84">
        <v>0</v>
      </c>
      <c r="L48" s="82" t="str">
        <f t="shared" si="1"/>
        <v>IT</v>
      </c>
    </row>
    <row r="49" spans="1:12" x14ac:dyDescent="0.35">
      <c r="A49" t="s">
        <v>56</v>
      </c>
      <c r="B49" t="s">
        <v>365</v>
      </c>
      <c r="C49" s="82" t="s">
        <v>366</v>
      </c>
      <c r="D49" t="s">
        <v>167</v>
      </c>
      <c r="E49" t="s">
        <v>174</v>
      </c>
      <c r="F49" s="76">
        <v>58245</v>
      </c>
      <c r="G49" s="80">
        <v>42337</v>
      </c>
      <c r="H49">
        <v>4</v>
      </c>
      <c r="I49" t="s">
        <v>178</v>
      </c>
      <c r="J49" t="s">
        <v>225</v>
      </c>
      <c r="K49" s="84">
        <v>0</v>
      </c>
      <c r="L49" s="82" t="str">
        <f t="shared" si="1"/>
        <v>HR</v>
      </c>
    </row>
    <row r="50" spans="1:12" x14ac:dyDescent="0.35">
      <c r="A50" t="s">
        <v>57</v>
      </c>
      <c r="B50" t="s">
        <v>359</v>
      </c>
      <c r="C50" s="82" t="s">
        <v>360</v>
      </c>
      <c r="D50" t="s">
        <v>166</v>
      </c>
      <c r="E50" t="s">
        <v>178</v>
      </c>
      <c r="F50" s="76">
        <v>66513</v>
      </c>
      <c r="G50" s="80">
        <v>42344</v>
      </c>
      <c r="H50">
        <v>2</v>
      </c>
      <c r="I50" t="s">
        <v>179</v>
      </c>
      <c r="J50" t="s">
        <v>187</v>
      </c>
      <c r="K50" s="84">
        <v>0</v>
      </c>
      <c r="L50" s="82" t="str">
        <f t="shared" si="1"/>
        <v>Finance</v>
      </c>
    </row>
    <row r="51" spans="1:12" x14ac:dyDescent="0.35">
      <c r="A51" t="s">
        <v>58</v>
      </c>
      <c r="B51" t="s">
        <v>355</v>
      </c>
      <c r="C51" s="82" t="s">
        <v>356</v>
      </c>
      <c r="D51" t="s">
        <v>167</v>
      </c>
      <c r="E51" t="s">
        <v>172</v>
      </c>
      <c r="F51" s="76">
        <v>78720</v>
      </c>
      <c r="G51" s="80">
        <v>42351</v>
      </c>
      <c r="H51">
        <v>5</v>
      </c>
      <c r="I51" t="s">
        <v>181</v>
      </c>
      <c r="J51" t="s">
        <v>219</v>
      </c>
      <c r="K51" s="84">
        <v>0</v>
      </c>
      <c r="L51" s="82" t="str">
        <f t="shared" si="1"/>
        <v>HR</v>
      </c>
    </row>
    <row r="52" spans="1:12" x14ac:dyDescent="0.35">
      <c r="A52" t="s">
        <v>59</v>
      </c>
      <c r="B52" t="s">
        <v>365</v>
      </c>
      <c r="C52" s="82" t="s">
        <v>366</v>
      </c>
      <c r="D52" t="s">
        <v>178</v>
      </c>
      <c r="E52" t="s">
        <v>171</v>
      </c>
      <c r="F52" s="76">
        <v>30686</v>
      </c>
      <c r="G52" s="80">
        <v>42358</v>
      </c>
      <c r="H52">
        <v>2</v>
      </c>
      <c r="I52" t="s">
        <v>181</v>
      </c>
      <c r="J52" t="s">
        <v>226</v>
      </c>
      <c r="K52" s="84">
        <v>0</v>
      </c>
      <c r="L52" s="82" t="str">
        <f t="shared" si="1"/>
        <v>Unknown</v>
      </c>
    </row>
    <row r="53" spans="1:12" x14ac:dyDescent="0.35">
      <c r="A53" t="s">
        <v>60</v>
      </c>
      <c r="B53" t="s">
        <v>363</v>
      </c>
      <c r="C53" s="82" t="s">
        <v>364</v>
      </c>
      <c r="D53" t="s">
        <v>168</v>
      </c>
      <c r="E53" t="s">
        <v>174</v>
      </c>
      <c r="F53" s="76">
        <v>39423</v>
      </c>
      <c r="G53" s="80">
        <v>42365</v>
      </c>
      <c r="H53">
        <v>5</v>
      </c>
      <c r="I53" t="s">
        <v>178</v>
      </c>
      <c r="J53" t="s">
        <v>227</v>
      </c>
      <c r="K53" s="84">
        <v>0</v>
      </c>
      <c r="L53" s="82" t="str">
        <f t="shared" si="1"/>
        <v>Sales</v>
      </c>
    </row>
    <row r="54" spans="1:12" x14ac:dyDescent="0.35">
      <c r="A54" t="s">
        <v>61</v>
      </c>
      <c r="B54" t="s">
        <v>355</v>
      </c>
      <c r="C54" s="82" t="s">
        <v>356</v>
      </c>
      <c r="D54" t="s">
        <v>170</v>
      </c>
      <c r="E54" t="s">
        <v>178</v>
      </c>
      <c r="F54" s="76">
        <v>30280</v>
      </c>
      <c r="G54" s="80">
        <v>42372</v>
      </c>
      <c r="H54">
        <v>1</v>
      </c>
      <c r="I54" t="s">
        <v>178</v>
      </c>
      <c r="J54" t="s">
        <v>228</v>
      </c>
      <c r="K54" s="84">
        <v>0</v>
      </c>
      <c r="L54" s="82" t="str">
        <f t="shared" si="1"/>
        <v>Marketing</v>
      </c>
    </row>
    <row r="55" spans="1:12" x14ac:dyDescent="0.35">
      <c r="A55" t="s">
        <v>62</v>
      </c>
      <c r="B55" t="s">
        <v>355</v>
      </c>
      <c r="C55" s="82" t="s">
        <v>356</v>
      </c>
      <c r="D55" t="s">
        <v>166</v>
      </c>
      <c r="E55" t="s">
        <v>175</v>
      </c>
      <c r="F55" s="76">
        <v>33352</v>
      </c>
      <c r="G55" s="80">
        <v>42379</v>
      </c>
      <c r="H55">
        <v>3</v>
      </c>
      <c r="I55" t="s">
        <v>181</v>
      </c>
      <c r="J55" t="s">
        <v>200</v>
      </c>
      <c r="K55" s="84">
        <v>0</v>
      </c>
      <c r="L55" s="82" t="str">
        <f t="shared" si="1"/>
        <v>Finance</v>
      </c>
    </row>
    <row r="56" spans="1:12" x14ac:dyDescent="0.35">
      <c r="A56" t="s">
        <v>63</v>
      </c>
      <c r="B56" t="s">
        <v>367</v>
      </c>
      <c r="C56" s="82" t="s">
        <v>368</v>
      </c>
      <c r="D56" t="s">
        <v>170</v>
      </c>
      <c r="E56" t="s">
        <v>175</v>
      </c>
      <c r="F56" s="76">
        <v>75633</v>
      </c>
      <c r="G56" s="80">
        <v>42386</v>
      </c>
      <c r="H56">
        <v>5</v>
      </c>
      <c r="I56" t="s">
        <v>179</v>
      </c>
      <c r="J56" t="s">
        <v>229</v>
      </c>
      <c r="K56" s="84">
        <v>0</v>
      </c>
      <c r="L56" s="82" t="str">
        <f t="shared" si="1"/>
        <v>Marketing</v>
      </c>
    </row>
    <row r="57" spans="1:12" x14ac:dyDescent="0.35">
      <c r="A57" t="s">
        <v>64</v>
      </c>
      <c r="B57" t="s">
        <v>365</v>
      </c>
      <c r="C57" s="82" t="s">
        <v>366</v>
      </c>
      <c r="D57" t="s">
        <v>178</v>
      </c>
      <c r="E57" t="s">
        <v>173</v>
      </c>
      <c r="F57" s="76">
        <v>74815</v>
      </c>
      <c r="G57" s="80">
        <v>42393</v>
      </c>
      <c r="H57">
        <v>5</v>
      </c>
      <c r="I57" t="s">
        <v>181</v>
      </c>
      <c r="J57" t="s">
        <v>230</v>
      </c>
      <c r="K57" s="84">
        <v>0</v>
      </c>
      <c r="L57" s="82" t="str">
        <f t="shared" si="1"/>
        <v>Unknown</v>
      </c>
    </row>
    <row r="58" spans="1:12" x14ac:dyDescent="0.35">
      <c r="A58" t="s">
        <v>65</v>
      </c>
      <c r="B58" t="s">
        <v>359</v>
      </c>
      <c r="C58" s="82" t="s">
        <v>360</v>
      </c>
      <c r="D58" t="s">
        <v>168</v>
      </c>
      <c r="E58" t="s">
        <v>176</v>
      </c>
      <c r="F58" s="76">
        <v>60011</v>
      </c>
      <c r="G58" s="80">
        <v>42400</v>
      </c>
      <c r="H58">
        <v>1</v>
      </c>
      <c r="I58" t="s">
        <v>180</v>
      </c>
      <c r="J58" t="s">
        <v>231</v>
      </c>
      <c r="K58" s="84">
        <v>0</v>
      </c>
      <c r="L58" s="82" t="str">
        <f t="shared" si="1"/>
        <v>Sales</v>
      </c>
    </row>
    <row r="59" spans="1:12" x14ac:dyDescent="0.35">
      <c r="A59" t="s">
        <v>66</v>
      </c>
      <c r="B59" t="s">
        <v>355</v>
      </c>
      <c r="C59" s="82" t="s">
        <v>356</v>
      </c>
      <c r="D59" t="s">
        <v>178</v>
      </c>
      <c r="E59" t="s">
        <v>174</v>
      </c>
      <c r="F59" s="76">
        <v>96949</v>
      </c>
      <c r="G59" s="80">
        <v>42407</v>
      </c>
      <c r="H59">
        <v>3</v>
      </c>
      <c r="I59" t="s">
        <v>178</v>
      </c>
      <c r="J59" t="s">
        <v>207</v>
      </c>
      <c r="K59" s="84">
        <v>0</v>
      </c>
      <c r="L59" s="82" t="str">
        <f t="shared" si="1"/>
        <v>Unknown</v>
      </c>
    </row>
    <row r="60" spans="1:12" x14ac:dyDescent="0.35">
      <c r="A60" t="s">
        <v>67</v>
      </c>
      <c r="B60" t="s">
        <v>363</v>
      </c>
      <c r="C60" s="82" t="s">
        <v>364</v>
      </c>
      <c r="D60" t="s">
        <v>170</v>
      </c>
      <c r="E60" t="s">
        <v>178</v>
      </c>
      <c r="F60" s="76">
        <v>84924</v>
      </c>
      <c r="G60" s="80">
        <v>42414</v>
      </c>
      <c r="H60">
        <v>5</v>
      </c>
      <c r="I60" t="s">
        <v>180</v>
      </c>
      <c r="J60" t="s">
        <v>232</v>
      </c>
      <c r="K60" s="84">
        <v>0</v>
      </c>
      <c r="L60" s="82" t="str">
        <f t="shared" si="1"/>
        <v>Marketing</v>
      </c>
    </row>
    <row r="61" spans="1:12" x14ac:dyDescent="0.35">
      <c r="A61" t="s">
        <v>68</v>
      </c>
      <c r="B61" t="s">
        <v>363</v>
      </c>
      <c r="C61" s="82" t="s">
        <v>364</v>
      </c>
      <c r="D61" t="s">
        <v>166</v>
      </c>
      <c r="E61" t="s">
        <v>173</v>
      </c>
      <c r="F61" s="76">
        <v>82033</v>
      </c>
      <c r="G61" s="80">
        <v>42421</v>
      </c>
      <c r="H61">
        <v>1</v>
      </c>
      <c r="I61" t="s">
        <v>178</v>
      </c>
      <c r="J61" t="s">
        <v>223</v>
      </c>
      <c r="K61" s="84">
        <v>0</v>
      </c>
      <c r="L61" s="82" t="str">
        <f t="shared" si="1"/>
        <v>Finance</v>
      </c>
    </row>
    <row r="62" spans="1:12" x14ac:dyDescent="0.35">
      <c r="A62" t="s">
        <v>69</v>
      </c>
      <c r="B62" t="s">
        <v>178</v>
      </c>
      <c r="C62"/>
      <c r="D62" t="s">
        <v>170</v>
      </c>
      <c r="E62" t="s">
        <v>172</v>
      </c>
      <c r="F62" s="76" t="s">
        <v>177</v>
      </c>
      <c r="G62" s="80">
        <v>42432</v>
      </c>
      <c r="H62">
        <v>5</v>
      </c>
      <c r="I62" t="s">
        <v>178</v>
      </c>
      <c r="J62" t="s">
        <v>233</v>
      </c>
      <c r="K62" s="84">
        <v>0</v>
      </c>
      <c r="L62" s="82" t="str">
        <f t="shared" si="1"/>
        <v>Marketing</v>
      </c>
    </row>
    <row r="63" spans="1:12" x14ac:dyDescent="0.35">
      <c r="A63" t="s">
        <v>70</v>
      </c>
      <c r="B63" t="s">
        <v>355</v>
      </c>
      <c r="C63" s="82" t="s">
        <v>356</v>
      </c>
      <c r="D63" t="s">
        <v>178</v>
      </c>
      <c r="E63" t="s">
        <v>176</v>
      </c>
      <c r="F63" s="76">
        <v>31499</v>
      </c>
      <c r="G63" s="80">
        <v>42435</v>
      </c>
      <c r="H63">
        <v>2</v>
      </c>
      <c r="I63" t="s">
        <v>178</v>
      </c>
      <c r="J63" t="s">
        <v>215</v>
      </c>
      <c r="K63" s="84">
        <v>0</v>
      </c>
      <c r="L63" s="82" t="str">
        <f t="shared" si="1"/>
        <v>Unknown</v>
      </c>
    </row>
    <row r="64" spans="1:12" x14ac:dyDescent="0.35">
      <c r="A64" t="s">
        <v>71</v>
      </c>
      <c r="B64" t="s">
        <v>365</v>
      </c>
      <c r="C64" s="82" t="s">
        <v>366</v>
      </c>
      <c r="D64" t="s">
        <v>169</v>
      </c>
      <c r="E64" t="s">
        <v>175</v>
      </c>
      <c r="F64" s="76">
        <v>97981</v>
      </c>
      <c r="G64" s="80">
        <v>42442</v>
      </c>
      <c r="H64">
        <v>5</v>
      </c>
      <c r="I64" t="s">
        <v>181</v>
      </c>
      <c r="J64" t="s">
        <v>234</v>
      </c>
      <c r="K64" s="84">
        <v>0</v>
      </c>
      <c r="L64" s="82" t="str">
        <f t="shared" si="1"/>
        <v>IT</v>
      </c>
    </row>
    <row r="65" spans="1:12" x14ac:dyDescent="0.35">
      <c r="A65" t="s">
        <v>72</v>
      </c>
      <c r="B65" t="s">
        <v>355</v>
      </c>
      <c r="C65" s="82" t="s">
        <v>356</v>
      </c>
      <c r="D65" t="s">
        <v>167</v>
      </c>
      <c r="E65" t="s">
        <v>173</v>
      </c>
      <c r="F65" s="76">
        <v>36541</v>
      </c>
      <c r="G65" s="80">
        <v>42449</v>
      </c>
      <c r="H65">
        <v>2</v>
      </c>
      <c r="I65" t="s">
        <v>179</v>
      </c>
      <c r="J65" t="s">
        <v>235</v>
      </c>
      <c r="K65" s="84">
        <v>0</v>
      </c>
      <c r="L65" s="82" t="str">
        <f t="shared" si="1"/>
        <v>HR</v>
      </c>
    </row>
    <row r="66" spans="1:12" x14ac:dyDescent="0.35">
      <c r="A66" t="s">
        <v>73</v>
      </c>
      <c r="B66" t="s">
        <v>359</v>
      </c>
      <c r="C66" s="82" t="s">
        <v>360</v>
      </c>
      <c r="D66" t="s">
        <v>169</v>
      </c>
      <c r="E66" t="s">
        <v>174</v>
      </c>
      <c r="F66" s="76">
        <v>84737</v>
      </c>
      <c r="G66" s="80">
        <v>42456</v>
      </c>
      <c r="H66">
        <v>1</v>
      </c>
      <c r="I66" t="s">
        <v>180</v>
      </c>
      <c r="J66" t="s">
        <v>236</v>
      </c>
      <c r="K66" s="84">
        <v>0</v>
      </c>
      <c r="L66" s="82" t="str">
        <f t="shared" ref="L66:L97" si="2">TRIM(D66)</f>
        <v>IT</v>
      </c>
    </row>
    <row r="67" spans="1:12" x14ac:dyDescent="0.35">
      <c r="A67" t="s">
        <v>74</v>
      </c>
      <c r="B67" t="s">
        <v>363</v>
      </c>
      <c r="C67" s="82" t="s">
        <v>364</v>
      </c>
      <c r="D67" t="s">
        <v>166</v>
      </c>
      <c r="E67" t="s">
        <v>174</v>
      </c>
      <c r="F67" s="76">
        <v>33468</v>
      </c>
      <c r="G67" s="80">
        <v>42463</v>
      </c>
      <c r="H67">
        <v>4</v>
      </c>
      <c r="I67" t="s">
        <v>180</v>
      </c>
      <c r="J67" t="s">
        <v>237</v>
      </c>
      <c r="K67" s="84">
        <v>0</v>
      </c>
      <c r="L67" s="82" t="str">
        <f t="shared" si="2"/>
        <v>Finance</v>
      </c>
    </row>
    <row r="68" spans="1:12" x14ac:dyDescent="0.35">
      <c r="A68" t="s">
        <v>75</v>
      </c>
      <c r="B68" t="s">
        <v>363</v>
      </c>
      <c r="C68" s="82" t="s">
        <v>364</v>
      </c>
      <c r="D68" t="s">
        <v>178</v>
      </c>
      <c r="E68" t="s">
        <v>176</v>
      </c>
      <c r="F68" s="76">
        <v>96365</v>
      </c>
      <c r="G68" s="80">
        <v>42470</v>
      </c>
      <c r="H68">
        <v>3</v>
      </c>
      <c r="I68" t="s">
        <v>179</v>
      </c>
      <c r="J68" t="s">
        <v>238</v>
      </c>
      <c r="K68" s="84">
        <v>0</v>
      </c>
      <c r="L68" s="82" t="str">
        <f t="shared" si="2"/>
        <v>Unknown</v>
      </c>
    </row>
    <row r="69" spans="1:12" x14ac:dyDescent="0.35">
      <c r="A69" t="s">
        <v>76</v>
      </c>
      <c r="B69" t="s">
        <v>357</v>
      </c>
      <c r="C69" s="82" t="s">
        <v>358</v>
      </c>
      <c r="D69" t="s">
        <v>168</v>
      </c>
      <c r="E69" t="s">
        <v>174</v>
      </c>
      <c r="F69" s="76">
        <v>61942</v>
      </c>
      <c r="G69" s="80">
        <v>42477</v>
      </c>
      <c r="H69">
        <v>3</v>
      </c>
      <c r="I69" t="s">
        <v>181</v>
      </c>
      <c r="J69" t="s">
        <v>239</v>
      </c>
      <c r="K69" s="84">
        <v>0</v>
      </c>
      <c r="L69" s="82" t="str">
        <f t="shared" si="2"/>
        <v>Sales</v>
      </c>
    </row>
    <row r="70" spans="1:12" x14ac:dyDescent="0.35">
      <c r="A70" t="s">
        <v>77</v>
      </c>
      <c r="B70" t="s">
        <v>363</v>
      </c>
      <c r="C70" s="82" t="s">
        <v>364</v>
      </c>
      <c r="D70" t="s">
        <v>166</v>
      </c>
      <c r="E70" t="s">
        <v>175</v>
      </c>
      <c r="F70" s="76">
        <v>41467</v>
      </c>
      <c r="G70" s="80">
        <v>42484</v>
      </c>
      <c r="H70">
        <v>2</v>
      </c>
      <c r="I70" t="s">
        <v>178</v>
      </c>
      <c r="J70" t="s">
        <v>201</v>
      </c>
      <c r="K70" s="84">
        <v>0</v>
      </c>
      <c r="L70" s="82" t="str">
        <f t="shared" si="2"/>
        <v>Finance</v>
      </c>
    </row>
    <row r="71" spans="1:12" x14ac:dyDescent="0.35">
      <c r="A71" t="s">
        <v>78</v>
      </c>
      <c r="B71" t="s">
        <v>367</v>
      </c>
      <c r="C71" s="82" t="s">
        <v>368</v>
      </c>
      <c r="D71" t="s">
        <v>166</v>
      </c>
      <c r="E71" t="s">
        <v>174</v>
      </c>
      <c r="F71" s="76">
        <v>77096</v>
      </c>
      <c r="G71" s="80">
        <v>42491</v>
      </c>
      <c r="H71">
        <v>1</v>
      </c>
      <c r="I71" t="s">
        <v>178</v>
      </c>
      <c r="J71" t="s">
        <v>240</v>
      </c>
      <c r="K71" s="84">
        <v>0</v>
      </c>
      <c r="L71" s="82" t="str">
        <f t="shared" si="2"/>
        <v>Finance</v>
      </c>
    </row>
    <row r="72" spans="1:12" x14ac:dyDescent="0.35">
      <c r="A72" t="s">
        <v>79</v>
      </c>
      <c r="B72" t="s">
        <v>355</v>
      </c>
      <c r="C72" s="82" t="s">
        <v>356</v>
      </c>
      <c r="D72" t="s">
        <v>168</v>
      </c>
      <c r="E72" t="s">
        <v>176</v>
      </c>
      <c r="F72" s="76">
        <v>69952</v>
      </c>
      <c r="G72" s="80">
        <v>42498</v>
      </c>
      <c r="H72">
        <v>5</v>
      </c>
      <c r="I72" t="s">
        <v>181</v>
      </c>
      <c r="J72" t="s">
        <v>182</v>
      </c>
      <c r="K72" s="84">
        <v>0</v>
      </c>
      <c r="L72" s="82" t="str">
        <f t="shared" si="2"/>
        <v>Sales</v>
      </c>
    </row>
    <row r="73" spans="1:12" x14ac:dyDescent="0.35">
      <c r="A73" t="s">
        <v>80</v>
      </c>
      <c r="B73" t="s">
        <v>355</v>
      </c>
      <c r="C73" s="82" t="s">
        <v>356</v>
      </c>
      <c r="D73" t="s">
        <v>170</v>
      </c>
      <c r="E73" t="s">
        <v>173</v>
      </c>
      <c r="F73" s="76">
        <v>85065</v>
      </c>
      <c r="G73" s="80">
        <v>42505</v>
      </c>
      <c r="H73">
        <v>3</v>
      </c>
      <c r="I73" t="s">
        <v>178</v>
      </c>
      <c r="J73" t="s">
        <v>241</v>
      </c>
      <c r="K73" s="84">
        <v>0</v>
      </c>
      <c r="L73" s="82" t="str">
        <f t="shared" si="2"/>
        <v>Marketing</v>
      </c>
    </row>
    <row r="74" spans="1:12" x14ac:dyDescent="0.35">
      <c r="A74" t="s">
        <v>81</v>
      </c>
      <c r="B74" t="s">
        <v>367</v>
      </c>
      <c r="C74" s="82" t="s">
        <v>368</v>
      </c>
      <c r="D74" t="s">
        <v>170</v>
      </c>
      <c r="E74" t="s">
        <v>174</v>
      </c>
      <c r="F74" s="76">
        <v>56512</v>
      </c>
      <c r="G74" s="80">
        <v>42512</v>
      </c>
      <c r="H74">
        <v>3</v>
      </c>
      <c r="I74" t="s">
        <v>179</v>
      </c>
      <c r="J74" t="s">
        <v>190</v>
      </c>
      <c r="K74" s="84">
        <v>0</v>
      </c>
      <c r="L74" s="82" t="str">
        <f t="shared" si="2"/>
        <v>Marketing</v>
      </c>
    </row>
    <row r="75" spans="1:12" x14ac:dyDescent="0.35">
      <c r="A75" t="s">
        <v>82</v>
      </c>
      <c r="B75" t="s">
        <v>359</v>
      </c>
      <c r="C75" s="82" t="s">
        <v>360</v>
      </c>
      <c r="D75" t="s">
        <v>168</v>
      </c>
      <c r="E75" t="s">
        <v>174</v>
      </c>
      <c r="F75" s="76">
        <v>91101</v>
      </c>
      <c r="G75" s="80">
        <v>42519</v>
      </c>
      <c r="H75">
        <v>4</v>
      </c>
      <c r="I75" t="s">
        <v>181</v>
      </c>
      <c r="J75" t="s">
        <v>234</v>
      </c>
      <c r="K75" s="84">
        <v>0</v>
      </c>
      <c r="L75" s="82" t="str">
        <f t="shared" si="2"/>
        <v>Sales</v>
      </c>
    </row>
    <row r="76" spans="1:12" x14ac:dyDescent="0.35">
      <c r="A76" t="s">
        <v>83</v>
      </c>
      <c r="B76" t="s">
        <v>363</v>
      </c>
      <c r="C76" s="82" t="s">
        <v>364</v>
      </c>
      <c r="D76" t="s">
        <v>178</v>
      </c>
      <c r="E76" t="s">
        <v>172</v>
      </c>
      <c r="F76" s="76">
        <v>41243</v>
      </c>
      <c r="G76" s="80">
        <v>42526</v>
      </c>
      <c r="H76">
        <v>3</v>
      </c>
      <c r="I76" t="s">
        <v>178</v>
      </c>
      <c r="J76" t="s">
        <v>211</v>
      </c>
      <c r="K76" s="84">
        <v>0</v>
      </c>
      <c r="L76" s="82" t="str">
        <f t="shared" si="2"/>
        <v>Unknown</v>
      </c>
    </row>
    <row r="77" spans="1:12" x14ac:dyDescent="0.35">
      <c r="A77" t="s">
        <v>84</v>
      </c>
      <c r="B77" t="s">
        <v>178</v>
      </c>
      <c r="C77"/>
      <c r="D77" t="s">
        <v>168</v>
      </c>
      <c r="E77" t="s">
        <v>171</v>
      </c>
      <c r="F77" s="76">
        <v>96142</v>
      </c>
      <c r="G77" s="80">
        <v>42533</v>
      </c>
      <c r="H77">
        <v>1</v>
      </c>
      <c r="I77" t="s">
        <v>179</v>
      </c>
      <c r="J77" t="s">
        <v>242</v>
      </c>
      <c r="K77" s="84">
        <v>0</v>
      </c>
      <c r="L77" s="82" t="str">
        <f t="shared" si="2"/>
        <v>Sales</v>
      </c>
    </row>
    <row r="78" spans="1:12" x14ac:dyDescent="0.35">
      <c r="A78" t="s">
        <v>85</v>
      </c>
      <c r="B78" t="s">
        <v>355</v>
      </c>
      <c r="C78" s="82" t="s">
        <v>356</v>
      </c>
      <c r="D78" t="s">
        <v>169</v>
      </c>
      <c r="E78" t="s">
        <v>174</v>
      </c>
      <c r="F78" s="76">
        <v>94301</v>
      </c>
      <c r="G78" s="80">
        <v>42540</v>
      </c>
      <c r="H78">
        <v>1</v>
      </c>
      <c r="I78" t="s">
        <v>180</v>
      </c>
      <c r="J78" t="s">
        <v>223</v>
      </c>
      <c r="K78" s="84">
        <v>0</v>
      </c>
      <c r="L78" s="82" t="str">
        <f t="shared" si="2"/>
        <v>IT</v>
      </c>
    </row>
    <row r="79" spans="1:12" x14ac:dyDescent="0.35">
      <c r="A79" t="s">
        <v>86</v>
      </c>
      <c r="B79" t="s">
        <v>361</v>
      </c>
      <c r="C79" s="82" t="s">
        <v>362</v>
      </c>
      <c r="D79" t="s">
        <v>178</v>
      </c>
      <c r="E79" t="s">
        <v>175</v>
      </c>
      <c r="F79" s="76">
        <v>69166</v>
      </c>
      <c r="G79" s="80">
        <v>42547</v>
      </c>
      <c r="H79">
        <v>1</v>
      </c>
      <c r="I79" t="s">
        <v>181</v>
      </c>
      <c r="J79" t="s">
        <v>243</v>
      </c>
      <c r="K79" s="84">
        <v>0</v>
      </c>
      <c r="L79" s="82" t="str">
        <f t="shared" si="2"/>
        <v>Unknown</v>
      </c>
    </row>
    <row r="80" spans="1:12" x14ac:dyDescent="0.35">
      <c r="A80" t="s">
        <v>87</v>
      </c>
      <c r="B80" t="s">
        <v>363</v>
      </c>
      <c r="C80" s="82" t="s">
        <v>364</v>
      </c>
      <c r="D80" t="s">
        <v>178</v>
      </c>
      <c r="E80" t="s">
        <v>175</v>
      </c>
      <c r="F80" s="76">
        <v>78245</v>
      </c>
      <c r="G80" s="80">
        <v>42554</v>
      </c>
      <c r="H80">
        <v>2</v>
      </c>
      <c r="I80" t="s">
        <v>178</v>
      </c>
      <c r="J80" t="s">
        <v>244</v>
      </c>
      <c r="K80" s="84">
        <v>0</v>
      </c>
      <c r="L80" s="82" t="str">
        <f t="shared" si="2"/>
        <v>Unknown</v>
      </c>
    </row>
    <row r="81" spans="1:12" x14ac:dyDescent="0.35">
      <c r="A81" t="s">
        <v>88</v>
      </c>
      <c r="B81" t="s">
        <v>365</v>
      </c>
      <c r="C81" s="82" t="s">
        <v>366</v>
      </c>
      <c r="D81" t="s">
        <v>168</v>
      </c>
      <c r="E81" t="s">
        <v>173</v>
      </c>
      <c r="F81" s="76">
        <v>66079</v>
      </c>
      <c r="G81" s="80">
        <v>42561</v>
      </c>
      <c r="H81">
        <v>2</v>
      </c>
      <c r="I81" t="s">
        <v>179</v>
      </c>
      <c r="J81" t="s">
        <v>245</v>
      </c>
      <c r="K81" s="84">
        <v>0</v>
      </c>
      <c r="L81" s="82" t="str">
        <f t="shared" si="2"/>
        <v>Sales</v>
      </c>
    </row>
    <row r="82" spans="1:12" x14ac:dyDescent="0.35">
      <c r="A82" t="s">
        <v>89</v>
      </c>
      <c r="B82" t="s">
        <v>355</v>
      </c>
      <c r="C82" s="82" t="s">
        <v>356</v>
      </c>
      <c r="D82" t="s">
        <v>170</v>
      </c>
      <c r="E82" t="s">
        <v>174</v>
      </c>
      <c r="F82" s="76" t="s">
        <v>177</v>
      </c>
      <c r="G82" s="80">
        <v>42573</v>
      </c>
      <c r="H82">
        <v>3</v>
      </c>
      <c r="I82" t="s">
        <v>178</v>
      </c>
      <c r="J82" t="s">
        <v>208</v>
      </c>
      <c r="K82" s="84">
        <v>0</v>
      </c>
      <c r="L82" s="82" t="str">
        <f t="shared" si="2"/>
        <v>Marketing</v>
      </c>
    </row>
    <row r="83" spans="1:12" x14ac:dyDescent="0.35">
      <c r="A83" t="s">
        <v>90</v>
      </c>
      <c r="B83" t="s">
        <v>361</v>
      </c>
      <c r="C83" s="82" t="s">
        <v>362</v>
      </c>
      <c r="D83" t="s">
        <v>168</v>
      </c>
      <c r="E83" t="s">
        <v>173</v>
      </c>
      <c r="F83" s="76">
        <v>95621</v>
      </c>
      <c r="G83" s="80">
        <v>42575</v>
      </c>
      <c r="H83">
        <v>3</v>
      </c>
      <c r="I83" t="s">
        <v>181</v>
      </c>
      <c r="J83" t="s">
        <v>246</v>
      </c>
      <c r="K83" s="84">
        <v>0</v>
      </c>
      <c r="L83" s="82" t="str">
        <f t="shared" si="2"/>
        <v>Sales</v>
      </c>
    </row>
    <row r="84" spans="1:12" x14ac:dyDescent="0.35">
      <c r="A84" t="s">
        <v>91</v>
      </c>
      <c r="B84" t="s">
        <v>355</v>
      </c>
      <c r="C84" s="82" t="s">
        <v>356</v>
      </c>
      <c r="D84" t="s">
        <v>169</v>
      </c>
      <c r="E84" t="s">
        <v>175</v>
      </c>
      <c r="F84" s="76">
        <v>42262</v>
      </c>
      <c r="G84" s="80">
        <v>42582</v>
      </c>
      <c r="H84">
        <v>1</v>
      </c>
      <c r="I84" t="s">
        <v>178</v>
      </c>
      <c r="J84" t="s">
        <v>247</v>
      </c>
      <c r="K84" s="84">
        <v>0</v>
      </c>
      <c r="L84" s="82" t="str">
        <f t="shared" si="2"/>
        <v>IT</v>
      </c>
    </row>
    <row r="85" spans="1:12" x14ac:dyDescent="0.35">
      <c r="A85" t="s">
        <v>92</v>
      </c>
      <c r="B85" t="s">
        <v>363</v>
      </c>
      <c r="C85" s="82" t="s">
        <v>364</v>
      </c>
      <c r="D85" t="s">
        <v>168</v>
      </c>
      <c r="E85" t="s">
        <v>174</v>
      </c>
      <c r="F85" s="76">
        <v>99621</v>
      </c>
      <c r="G85" s="80">
        <v>42589</v>
      </c>
      <c r="H85">
        <v>3</v>
      </c>
      <c r="I85" t="s">
        <v>179</v>
      </c>
      <c r="J85" t="s">
        <v>248</v>
      </c>
      <c r="K85" s="84">
        <v>0</v>
      </c>
      <c r="L85" s="82" t="str">
        <f t="shared" si="2"/>
        <v>Sales</v>
      </c>
    </row>
    <row r="86" spans="1:12" x14ac:dyDescent="0.35">
      <c r="A86" t="s">
        <v>93</v>
      </c>
      <c r="B86" t="s">
        <v>359</v>
      </c>
      <c r="C86" s="82" t="s">
        <v>360</v>
      </c>
      <c r="D86" t="s">
        <v>170</v>
      </c>
      <c r="E86" t="s">
        <v>174</v>
      </c>
      <c r="F86" s="76">
        <v>44682</v>
      </c>
      <c r="G86" s="80">
        <v>42596</v>
      </c>
      <c r="H86">
        <v>4</v>
      </c>
      <c r="I86" t="s">
        <v>181</v>
      </c>
      <c r="J86" t="s">
        <v>220</v>
      </c>
      <c r="K86" s="84">
        <v>0</v>
      </c>
      <c r="L86" s="82" t="str">
        <f t="shared" si="2"/>
        <v>Marketing</v>
      </c>
    </row>
    <row r="87" spans="1:12" x14ac:dyDescent="0.35">
      <c r="A87" t="s">
        <v>94</v>
      </c>
      <c r="B87" t="s">
        <v>365</v>
      </c>
      <c r="C87" s="82" t="s">
        <v>366</v>
      </c>
      <c r="D87" t="s">
        <v>166</v>
      </c>
      <c r="E87" t="s">
        <v>178</v>
      </c>
      <c r="F87" s="76">
        <v>35163</v>
      </c>
      <c r="G87" s="80">
        <v>42603</v>
      </c>
      <c r="H87">
        <v>5</v>
      </c>
      <c r="I87" t="s">
        <v>179</v>
      </c>
      <c r="J87" t="s">
        <v>249</v>
      </c>
      <c r="K87" s="84">
        <v>0</v>
      </c>
      <c r="L87" s="82" t="str">
        <f t="shared" si="2"/>
        <v>Finance</v>
      </c>
    </row>
    <row r="88" spans="1:12" x14ac:dyDescent="0.35">
      <c r="A88" t="s">
        <v>95</v>
      </c>
      <c r="B88" t="s">
        <v>365</v>
      </c>
      <c r="C88" s="82" t="s">
        <v>366</v>
      </c>
      <c r="D88" t="s">
        <v>169</v>
      </c>
      <c r="E88" t="s">
        <v>174</v>
      </c>
      <c r="F88" s="76">
        <v>33483</v>
      </c>
      <c r="G88" s="80">
        <v>42610</v>
      </c>
      <c r="H88">
        <v>4</v>
      </c>
      <c r="I88" t="s">
        <v>180</v>
      </c>
      <c r="J88" t="s">
        <v>250</v>
      </c>
      <c r="K88" s="84">
        <v>0</v>
      </c>
      <c r="L88" s="82" t="str">
        <f t="shared" si="2"/>
        <v>IT</v>
      </c>
    </row>
    <row r="89" spans="1:12" x14ac:dyDescent="0.35">
      <c r="A89" t="s">
        <v>96</v>
      </c>
      <c r="B89" t="s">
        <v>363</v>
      </c>
      <c r="C89" s="82" t="s">
        <v>364</v>
      </c>
      <c r="D89" t="s">
        <v>167</v>
      </c>
      <c r="E89" t="s">
        <v>172</v>
      </c>
      <c r="F89" s="76">
        <v>55303</v>
      </c>
      <c r="G89" s="80">
        <v>42617</v>
      </c>
      <c r="H89">
        <v>4</v>
      </c>
      <c r="I89" t="s">
        <v>180</v>
      </c>
      <c r="J89" t="s">
        <v>203</v>
      </c>
      <c r="K89" s="84">
        <v>0</v>
      </c>
      <c r="L89" s="82" t="str">
        <f t="shared" si="2"/>
        <v>HR</v>
      </c>
    </row>
    <row r="90" spans="1:12" x14ac:dyDescent="0.35">
      <c r="A90" t="s">
        <v>97</v>
      </c>
      <c r="B90" t="s">
        <v>365</v>
      </c>
      <c r="C90" s="82" t="s">
        <v>366</v>
      </c>
      <c r="D90" t="s">
        <v>169</v>
      </c>
      <c r="E90" t="s">
        <v>178</v>
      </c>
      <c r="F90" s="76">
        <v>63434</v>
      </c>
      <c r="G90" s="80">
        <v>42624</v>
      </c>
      <c r="H90">
        <v>3</v>
      </c>
      <c r="I90" t="s">
        <v>178</v>
      </c>
      <c r="J90" t="s">
        <v>251</v>
      </c>
      <c r="K90" s="84">
        <v>0</v>
      </c>
      <c r="L90" s="82" t="str">
        <f t="shared" si="2"/>
        <v>IT</v>
      </c>
    </row>
    <row r="91" spans="1:12" x14ac:dyDescent="0.35">
      <c r="A91" t="s">
        <v>98</v>
      </c>
      <c r="B91" t="s">
        <v>361</v>
      </c>
      <c r="C91" s="82" t="s">
        <v>362</v>
      </c>
      <c r="D91" t="s">
        <v>178</v>
      </c>
      <c r="E91" t="s">
        <v>176</v>
      </c>
      <c r="F91" s="76">
        <v>38830</v>
      </c>
      <c r="G91" s="80">
        <v>42631</v>
      </c>
      <c r="H91">
        <v>3</v>
      </c>
      <c r="I91" t="s">
        <v>179</v>
      </c>
      <c r="J91" t="s">
        <v>203</v>
      </c>
      <c r="K91" s="84">
        <v>0</v>
      </c>
      <c r="L91" s="82" t="str">
        <f t="shared" si="2"/>
        <v>Unknown</v>
      </c>
    </row>
    <row r="92" spans="1:12" x14ac:dyDescent="0.35">
      <c r="A92" t="s">
        <v>99</v>
      </c>
      <c r="B92" t="s">
        <v>178</v>
      </c>
      <c r="C92"/>
      <c r="D92" t="s">
        <v>170</v>
      </c>
      <c r="E92" t="s">
        <v>175</v>
      </c>
      <c r="F92" s="76">
        <v>50741</v>
      </c>
      <c r="G92" s="80">
        <v>42638</v>
      </c>
      <c r="H92">
        <v>3</v>
      </c>
      <c r="I92" t="s">
        <v>178</v>
      </c>
      <c r="J92" t="s">
        <v>240</v>
      </c>
      <c r="K92" s="84">
        <v>0</v>
      </c>
      <c r="L92" s="82" t="str">
        <f t="shared" si="2"/>
        <v>Marketing</v>
      </c>
    </row>
    <row r="93" spans="1:12" x14ac:dyDescent="0.35">
      <c r="A93" t="s">
        <v>100</v>
      </c>
      <c r="B93" t="s">
        <v>357</v>
      </c>
      <c r="C93" s="82" t="s">
        <v>358</v>
      </c>
      <c r="D93" t="s">
        <v>167</v>
      </c>
      <c r="E93" t="s">
        <v>176</v>
      </c>
      <c r="F93" s="76">
        <v>69420</v>
      </c>
      <c r="G93" s="80">
        <v>42645</v>
      </c>
      <c r="H93">
        <v>1</v>
      </c>
      <c r="I93" t="s">
        <v>180</v>
      </c>
      <c r="J93" t="s">
        <v>225</v>
      </c>
      <c r="K93" s="84">
        <v>0</v>
      </c>
      <c r="L93" s="82" t="str">
        <f t="shared" si="2"/>
        <v>HR</v>
      </c>
    </row>
    <row r="94" spans="1:12" x14ac:dyDescent="0.35">
      <c r="A94" t="s">
        <v>101</v>
      </c>
      <c r="B94" t="s">
        <v>361</v>
      </c>
      <c r="C94" s="82" t="s">
        <v>362</v>
      </c>
      <c r="D94" t="s">
        <v>169</v>
      </c>
      <c r="E94" t="s">
        <v>178</v>
      </c>
      <c r="F94" s="76">
        <v>80588</v>
      </c>
      <c r="G94" s="80">
        <v>42652</v>
      </c>
      <c r="H94">
        <v>5</v>
      </c>
      <c r="I94" t="s">
        <v>180</v>
      </c>
      <c r="J94" t="s">
        <v>216</v>
      </c>
      <c r="K94" s="84">
        <v>0</v>
      </c>
      <c r="L94" s="82" t="str">
        <f t="shared" si="2"/>
        <v>IT</v>
      </c>
    </row>
    <row r="95" spans="1:12" x14ac:dyDescent="0.35">
      <c r="A95" t="s">
        <v>102</v>
      </c>
      <c r="B95" t="s">
        <v>357</v>
      </c>
      <c r="C95" s="82" t="s">
        <v>358</v>
      </c>
      <c r="D95" t="s">
        <v>178</v>
      </c>
      <c r="E95" t="s">
        <v>173</v>
      </c>
      <c r="F95" s="76">
        <v>76238</v>
      </c>
      <c r="G95" s="80">
        <v>42659</v>
      </c>
      <c r="H95">
        <v>4</v>
      </c>
      <c r="I95" t="s">
        <v>180</v>
      </c>
      <c r="J95" t="s">
        <v>252</v>
      </c>
      <c r="K95" s="84">
        <v>0</v>
      </c>
      <c r="L95" s="82" t="str">
        <f t="shared" si="2"/>
        <v>Unknown</v>
      </c>
    </row>
    <row r="96" spans="1:12" x14ac:dyDescent="0.35">
      <c r="A96" t="s">
        <v>103</v>
      </c>
      <c r="B96" t="s">
        <v>367</v>
      </c>
      <c r="C96" s="82" t="s">
        <v>368</v>
      </c>
      <c r="D96" t="s">
        <v>169</v>
      </c>
      <c r="E96" t="s">
        <v>174</v>
      </c>
      <c r="F96" s="76">
        <v>33264</v>
      </c>
      <c r="G96" s="80">
        <v>42666</v>
      </c>
      <c r="H96">
        <v>3</v>
      </c>
      <c r="I96" t="s">
        <v>181</v>
      </c>
      <c r="J96" t="s">
        <v>253</v>
      </c>
      <c r="K96" s="84">
        <v>0</v>
      </c>
      <c r="L96" s="82" t="str">
        <f t="shared" si="2"/>
        <v>IT</v>
      </c>
    </row>
    <row r="97" spans="1:12" x14ac:dyDescent="0.35">
      <c r="A97" t="s">
        <v>104</v>
      </c>
      <c r="B97" t="s">
        <v>357</v>
      </c>
      <c r="C97" s="82" t="s">
        <v>358</v>
      </c>
      <c r="D97" t="s">
        <v>166</v>
      </c>
      <c r="E97" t="s">
        <v>176</v>
      </c>
      <c r="F97" s="76">
        <v>96101</v>
      </c>
      <c r="G97" s="80">
        <v>42673</v>
      </c>
      <c r="H97">
        <v>3</v>
      </c>
      <c r="I97" t="s">
        <v>179</v>
      </c>
      <c r="J97" t="s">
        <v>254</v>
      </c>
      <c r="K97" s="84">
        <v>0</v>
      </c>
      <c r="L97" s="82" t="str">
        <f t="shared" si="2"/>
        <v>Finance</v>
      </c>
    </row>
    <row r="98" spans="1:12" x14ac:dyDescent="0.35">
      <c r="A98" t="s">
        <v>105</v>
      </c>
      <c r="B98" t="s">
        <v>361</v>
      </c>
      <c r="C98" s="82" t="s">
        <v>362</v>
      </c>
      <c r="D98" t="s">
        <v>166</v>
      </c>
      <c r="E98" t="s">
        <v>173</v>
      </c>
      <c r="F98" s="76">
        <v>72939</v>
      </c>
      <c r="G98" s="80">
        <v>42680</v>
      </c>
      <c r="H98">
        <v>3</v>
      </c>
      <c r="I98" t="s">
        <v>178</v>
      </c>
      <c r="J98" t="s">
        <v>255</v>
      </c>
      <c r="K98" s="84">
        <v>0</v>
      </c>
      <c r="L98" s="82" t="str">
        <f t="shared" ref="L98:L129" si="3">TRIM(D98)</f>
        <v>Finance</v>
      </c>
    </row>
    <row r="99" spans="1:12" x14ac:dyDescent="0.35">
      <c r="A99" t="s">
        <v>106</v>
      </c>
      <c r="B99" t="s">
        <v>363</v>
      </c>
      <c r="C99" s="82" t="s">
        <v>364</v>
      </c>
      <c r="D99" t="s">
        <v>167</v>
      </c>
      <c r="E99" t="s">
        <v>172</v>
      </c>
      <c r="F99" s="76">
        <v>89333</v>
      </c>
      <c r="G99" s="80">
        <v>42687</v>
      </c>
      <c r="H99">
        <v>1</v>
      </c>
      <c r="I99" t="s">
        <v>180</v>
      </c>
      <c r="J99" t="s">
        <v>256</v>
      </c>
      <c r="K99" s="84">
        <v>0</v>
      </c>
      <c r="L99" s="82" t="str">
        <f t="shared" si="3"/>
        <v>HR</v>
      </c>
    </row>
    <row r="100" spans="1:12" x14ac:dyDescent="0.35">
      <c r="A100" t="s">
        <v>107</v>
      </c>
      <c r="B100" t="s">
        <v>367</v>
      </c>
      <c r="C100" s="82" t="s">
        <v>368</v>
      </c>
      <c r="D100" t="s">
        <v>169</v>
      </c>
      <c r="E100" t="s">
        <v>176</v>
      </c>
      <c r="F100" s="76">
        <v>70470</v>
      </c>
      <c r="G100" s="80">
        <v>42694</v>
      </c>
      <c r="H100">
        <v>3</v>
      </c>
      <c r="I100" t="s">
        <v>180</v>
      </c>
      <c r="J100" t="s">
        <v>257</v>
      </c>
      <c r="K100" s="84">
        <v>0</v>
      </c>
      <c r="L100" s="82" t="str">
        <f t="shared" si="3"/>
        <v>IT</v>
      </c>
    </row>
    <row r="101" spans="1:12" x14ac:dyDescent="0.35">
      <c r="A101" t="s">
        <v>108</v>
      </c>
      <c r="B101" t="s">
        <v>355</v>
      </c>
      <c r="C101" s="82" t="s">
        <v>356</v>
      </c>
      <c r="D101" t="s">
        <v>170</v>
      </c>
      <c r="E101" t="s">
        <v>173</v>
      </c>
      <c r="F101" s="76">
        <v>70096</v>
      </c>
      <c r="G101" s="80">
        <v>42701</v>
      </c>
      <c r="H101">
        <v>4</v>
      </c>
      <c r="I101" t="s">
        <v>180</v>
      </c>
      <c r="J101" t="s">
        <v>258</v>
      </c>
      <c r="K101" s="84">
        <v>0</v>
      </c>
      <c r="L101" s="82" t="str">
        <f t="shared" si="3"/>
        <v>Marketing</v>
      </c>
    </row>
    <row r="102" spans="1:12" x14ac:dyDescent="0.35">
      <c r="A102" t="s">
        <v>109</v>
      </c>
      <c r="B102" t="s">
        <v>367</v>
      </c>
      <c r="C102" s="82" t="s">
        <v>368</v>
      </c>
      <c r="D102" t="s">
        <v>170</v>
      </c>
      <c r="E102" t="s">
        <v>171</v>
      </c>
      <c r="F102" s="76" t="s">
        <v>177</v>
      </c>
      <c r="G102" s="80">
        <v>42708</v>
      </c>
      <c r="H102">
        <v>2</v>
      </c>
      <c r="I102" t="s">
        <v>179</v>
      </c>
      <c r="J102" t="s">
        <v>259</v>
      </c>
      <c r="K102" s="84">
        <v>0</v>
      </c>
      <c r="L102" s="82" t="str">
        <f t="shared" si="3"/>
        <v>Marketing</v>
      </c>
    </row>
    <row r="103" spans="1:12" x14ac:dyDescent="0.35">
      <c r="A103" t="s">
        <v>110</v>
      </c>
      <c r="B103" t="s">
        <v>367</v>
      </c>
      <c r="C103" s="82" t="s">
        <v>368</v>
      </c>
      <c r="D103" t="s">
        <v>169</v>
      </c>
      <c r="E103" t="s">
        <v>172</v>
      </c>
      <c r="F103" s="76">
        <v>66503</v>
      </c>
      <c r="G103" s="80">
        <v>42715</v>
      </c>
      <c r="H103">
        <v>3</v>
      </c>
      <c r="I103" t="s">
        <v>180</v>
      </c>
      <c r="J103" t="s">
        <v>200</v>
      </c>
      <c r="K103" s="84">
        <v>0</v>
      </c>
      <c r="L103" s="82" t="str">
        <f t="shared" si="3"/>
        <v>IT</v>
      </c>
    </row>
    <row r="104" spans="1:12" x14ac:dyDescent="0.35">
      <c r="A104" t="s">
        <v>111</v>
      </c>
      <c r="B104" t="s">
        <v>357</v>
      </c>
      <c r="C104" s="82" t="s">
        <v>358</v>
      </c>
      <c r="D104" t="s">
        <v>167</v>
      </c>
      <c r="E104" t="s">
        <v>172</v>
      </c>
      <c r="F104" s="76">
        <v>42096</v>
      </c>
      <c r="G104" s="80">
        <v>42722</v>
      </c>
      <c r="H104">
        <v>3</v>
      </c>
      <c r="I104" t="s">
        <v>181</v>
      </c>
      <c r="J104" t="s">
        <v>260</v>
      </c>
      <c r="K104" s="84">
        <v>0</v>
      </c>
      <c r="L104" s="82" t="str">
        <f t="shared" si="3"/>
        <v>HR</v>
      </c>
    </row>
    <row r="105" spans="1:12" x14ac:dyDescent="0.35">
      <c r="A105" t="s">
        <v>112</v>
      </c>
      <c r="B105" t="s">
        <v>357</v>
      </c>
      <c r="C105" s="82" t="s">
        <v>358</v>
      </c>
      <c r="D105" t="s">
        <v>170</v>
      </c>
      <c r="E105" t="s">
        <v>178</v>
      </c>
      <c r="F105" s="76">
        <v>79145</v>
      </c>
      <c r="G105" s="80">
        <v>42729</v>
      </c>
      <c r="H105">
        <v>5</v>
      </c>
      <c r="I105" t="s">
        <v>179</v>
      </c>
      <c r="J105" t="s">
        <v>223</v>
      </c>
      <c r="K105" s="84">
        <v>0</v>
      </c>
      <c r="L105" s="82" t="str">
        <f t="shared" si="3"/>
        <v>Marketing</v>
      </c>
    </row>
    <row r="106" spans="1:12" x14ac:dyDescent="0.35">
      <c r="A106" t="s">
        <v>113</v>
      </c>
      <c r="B106" t="s">
        <v>361</v>
      </c>
      <c r="C106" s="82" t="s">
        <v>362</v>
      </c>
      <c r="D106" t="s">
        <v>178</v>
      </c>
      <c r="E106" t="s">
        <v>176</v>
      </c>
      <c r="F106" s="76">
        <v>61556</v>
      </c>
      <c r="G106" s="80">
        <v>42736</v>
      </c>
      <c r="H106">
        <v>1</v>
      </c>
      <c r="I106" t="s">
        <v>178</v>
      </c>
      <c r="J106" t="s">
        <v>259</v>
      </c>
      <c r="K106" s="84">
        <v>0</v>
      </c>
      <c r="L106" s="82" t="str">
        <f t="shared" si="3"/>
        <v>Unknown</v>
      </c>
    </row>
    <row r="107" spans="1:12" x14ac:dyDescent="0.35">
      <c r="A107" t="s">
        <v>114</v>
      </c>
      <c r="B107" t="s">
        <v>178</v>
      </c>
      <c r="C107"/>
      <c r="D107" t="s">
        <v>167</v>
      </c>
      <c r="E107" t="s">
        <v>175</v>
      </c>
      <c r="F107" s="76">
        <v>87963</v>
      </c>
      <c r="G107" s="80">
        <v>42743</v>
      </c>
      <c r="H107">
        <v>3</v>
      </c>
      <c r="I107" t="s">
        <v>179</v>
      </c>
      <c r="J107" t="s">
        <v>182</v>
      </c>
      <c r="K107" s="84">
        <v>0</v>
      </c>
      <c r="L107" s="82" t="str">
        <f t="shared" si="3"/>
        <v>HR</v>
      </c>
    </row>
    <row r="108" spans="1:12" x14ac:dyDescent="0.35">
      <c r="A108" t="s">
        <v>115</v>
      </c>
      <c r="B108" t="s">
        <v>355</v>
      </c>
      <c r="C108" s="82" t="s">
        <v>356</v>
      </c>
      <c r="D108" t="s">
        <v>169</v>
      </c>
      <c r="E108" t="s">
        <v>178</v>
      </c>
      <c r="F108" s="76">
        <v>48325</v>
      </c>
      <c r="G108" s="80">
        <v>42750</v>
      </c>
      <c r="H108">
        <v>3</v>
      </c>
      <c r="I108" t="s">
        <v>180</v>
      </c>
      <c r="J108" t="s">
        <v>261</v>
      </c>
      <c r="K108" s="84">
        <v>0</v>
      </c>
      <c r="L108" s="82" t="str">
        <f t="shared" si="3"/>
        <v>IT</v>
      </c>
    </row>
    <row r="109" spans="1:12" x14ac:dyDescent="0.35">
      <c r="A109" t="s">
        <v>116</v>
      </c>
      <c r="B109" t="s">
        <v>363</v>
      </c>
      <c r="C109" s="82" t="s">
        <v>364</v>
      </c>
      <c r="D109" t="s">
        <v>170</v>
      </c>
      <c r="E109" t="s">
        <v>176</v>
      </c>
      <c r="F109" s="76">
        <v>86412</v>
      </c>
      <c r="G109" s="80">
        <v>42757</v>
      </c>
      <c r="H109">
        <v>2</v>
      </c>
      <c r="I109" t="s">
        <v>181</v>
      </c>
      <c r="J109" t="s">
        <v>202</v>
      </c>
      <c r="K109" s="84">
        <v>0</v>
      </c>
      <c r="L109" s="82" t="str">
        <f t="shared" si="3"/>
        <v>Marketing</v>
      </c>
    </row>
    <row r="110" spans="1:12" x14ac:dyDescent="0.35">
      <c r="A110" t="s">
        <v>117</v>
      </c>
      <c r="B110" t="s">
        <v>363</v>
      </c>
      <c r="C110" s="82" t="s">
        <v>364</v>
      </c>
      <c r="D110" t="s">
        <v>167</v>
      </c>
      <c r="E110" t="s">
        <v>178</v>
      </c>
      <c r="F110" s="76">
        <v>66761</v>
      </c>
      <c r="G110" s="80">
        <v>42764</v>
      </c>
      <c r="H110">
        <v>1</v>
      </c>
      <c r="I110" t="s">
        <v>178</v>
      </c>
      <c r="J110" t="s">
        <v>262</v>
      </c>
      <c r="K110" s="84">
        <v>0</v>
      </c>
      <c r="L110" s="82" t="str">
        <f t="shared" si="3"/>
        <v>HR</v>
      </c>
    </row>
    <row r="111" spans="1:12" x14ac:dyDescent="0.35">
      <c r="A111" t="s">
        <v>118</v>
      </c>
      <c r="B111" t="s">
        <v>361</v>
      </c>
      <c r="C111" s="82" t="s">
        <v>362</v>
      </c>
      <c r="D111" t="s">
        <v>178</v>
      </c>
      <c r="E111" t="s">
        <v>174</v>
      </c>
      <c r="F111" s="76">
        <v>88850</v>
      </c>
      <c r="G111" s="80">
        <v>42771</v>
      </c>
      <c r="H111">
        <v>1</v>
      </c>
      <c r="I111" t="s">
        <v>181</v>
      </c>
      <c r="J111" t="s">
        <v>263</v>
      </c>
      <c r="K111" s="84">
        <v>0</v>
      </c>
      <c r="L111" s="82" t="str">
        <f t="shared" si="3"/>
        <v>Unknown</v>
      </c>
    </row>
    <row r="112" spans="1:12" x14ac:dyDescent="0.35">
      <c r="A112" t="s">
        <v>119</v>
      </c>
      <c r="B112" t="s">
        <v>365</v>
      </c>
      <c r="C112" s="82" t="s">
        <v>366</v>
      </c>
      <c r="D112" t="s">
        <v>168</v>
      </c>
      <c r="E112" t="s">
        <v>174</v>
      </c>
      <c r="F112" s="76">
        <v>31293</v>
      </c>
      <c r="G112" s="80">
        <v>42781</v>
      </c>
      <c r="H112">
        <v>2</v>
      </c>
      <c r="I112" t="s">
        <v>181</v>
      </c>
      <c r="J112" t="s">
        <v>264</v>
      </c>
      <c r="K112" s="84">
        <v>0</v>
      </c>
      <c r="L112" s="82" t="str">
        <f t="shared" si="3"/>
        <v>Sales</v>
      </c>
    </row>
    <row r="113" spans="1:12" x14ac:dyDescent="0.35">
      <c r="A113" t="s">
        <v>120</v>
      </c>
      <c r="B113" t="s">
        <v>365</v>
      </c>
      <c r="C113" s="82" t="s">
        <v>366</v>
      </c>
      <c r="D113" t="s">
        <v>169</v>
      </c>
      <c r="E113" t="s">
        <v>173</v>
      </c>
      <c r="F113" s="76">
        <v>34306</v>
      </c>
      <c r="G113" s="80">
        <v>42785</v>
      </c>
      <c r="H113">
        <v>5</v>
      </c>
      <c r="I113" t="s">
        <v>181</v>
      </c>
      <c r="J113" t="s">
        <v>239</v>
      </c>
      <c r="K113" s="84">
        <v>0</v>
      </c>
      <c r="L113" s="82" t="str">
        <f t="shared" si="3"/>
        <v>IT</v>
      </c>
    </row>
    <row r="114" spans="1:12" x14ac:dyDescent="0.35">
      <c r="A114" t="s">
        <v>121</v>
      </c>
      <c r="B114" t="s">
        <v>355</v>
      </c>
      <c r="C114" s="82" t="s">
        <v>356</v>
      </c>
      <c r="D114" t="s">
        <v>166</v>
      </c>
      <c r="E114" t="s">
        <v>174</v>
      </c>
      <c r="F114" s="76">
        <v>78330</v>
      </c>
      <c r="G114" s="80">
        <v>42792</v>
      </c>
      <c r="H114">
        <v>3</v>
      </c>
      <c r="I114" t="s">
        <v>179</v>
      </c>
      <c r="J114" t="s">
        <v>258</v>
      </c>
      <c r="K114" s="84">
        <v>0</v>
      </c>
      <c r="L114" s="82" t="str">
        <f t="shared" si="3"/>
        <v>Finance</v>
      </c>
    </row>
    <row r="115" spans="1:12" x14ac:dyDescent="0.35">
      <c r="A115" t="s">
        <v>122</v>
      </c>
      <c r="B115" t="s">
        <v>357</v>
      </c>
      <c r="C115" s="82" t="s">
        <v>358</v>
      </c>
      <c r="D115" t="s">
        <v>169</v>
      </c>
      <c r="E115" t="s">
        <v>173</v>
      </c>
      <c r="F115" s="76">
        <v>47653</v>
      </c>
      <c r="G115" s="80">
        <v>42799</v>
      </c>
      <c r="H115">
        <v>1</v>
      </c>
      <c r="I115" t="s">
        <v>180</v>
      </c>
      <c r="J115" t="s">
        <v>265</v>
      </c>
      <c r="K115" s="84">
        <v>0</v>
      </c>
      <c r="L115" s="82" t="str">
        <f t="shared" si="3"/>
        <v>IT</v>
      </c>
    </row>
    <row r="116" spans="1:12" x14ac:dyDescent="0.35">
      <c r="A116" t="s">
        <v>123</v>
      </c>
      <c r="B116" t="s">
        <v>355</v>
      </c>
      <c r="C116" s="82" t="s">
        <v>356</v>
      </c>
      <c r="D116" t="s">
        <v>170</v>
      </c>
      <c r="E116" t="s">
        <v>175</v>
      </c>
      <c r="F116" s="76">
        <v>44627</v>
      </c>
      <c r="G116" s="80">
        <v>42806</v>
      </c>
      <c r="H116">
        <v>4</v>
      </c>
      <c r="I116" t="s">
        <v>178</v>
      </c>
      <c r="J116" t="s">
        <v>235</v>
      </c>
      <c r="K116" s="84">
        <v>0</v>
      </c>
      <c r="L116" s="82" t="str">
        <f t="shared" si="3"/>
        <v>Marketing</v>
      </c>
    </row>
    <row r="117" spans="1:12" x14ac:dyDescent="0.35">
      <c r="A117" t="s">
        <v>124</v>
      </c>
      <c r="B117" t="s">
        <v>367</v>
      </c>
      <c r="C117" s="82" t="s">
        <v>368</v>
      </c>
      <c r="D117" t="s">
        <v>167</v>
      </c>
      <c r="E117" t="s">
        <v>172</v>
      </c>
      <c r="F117" s="76">
        <v>92343</v>
      </c>
      <c r="G117" s="80">
        <v>42813</v>
      </c>
      <c r="H117">
        <v>4</v>
      </c>
      <c r="I117" t="s">
        <v>181</v>
      </c>
      <c r="J117" t="s">
        <v>203</v>
      </c>
      <c r="K117" s="84">
        <v>0</v>
      </c>
      <c r="L117" s="82" t="str">
        <f t="shared" si="3"/>
        <v>HR</v>
      </c>
    </row>
    <row r="118" spans="1:12" x14ac:dyDescent="0.35">
      <c r="A118" t="s">
        <v>125</v>
      </c>
      <c r="B118" t="s">
        <v>367</v>
      </c>
      <c r="C118" s="82" t="s">
        <v>368</v>
      </c>
      <c r="D118" t="s">
        <v>170</v>
      </c>
      <c r="E118" t="s">
        <v>176</v>
      </c>
      <c r="F118" s="76">
        <v>38837</v>
      </c>
      <c r="G118" s="80">
        <v>42820</v>
      </c>
      <c r="H118">
        <v>5</v>
      </c>
      <c r="I118" t="s">
        <v>181</v>
      </c>
      <c r="J118" t="s">
        <v>239</v>
      </c>
      <c r="K118" s="84">
        <v>0</v>
      </c>
      <c r="L118" s="82" t="str">
        <f t="shared" si="3"/>
        <v>Marketing</v>
      </c>
    </row>
    <row r="119" spans="1:12" x14ac:dyDescent="0.35">
      <c r="A119" t="s">
        <v>126</v>
      </c>
      <c r="B119" t="s">
        <v>367</v>
      </c>
      <c r="C119" s="82" t="s">
        <v>368</v>
      </c>
      <c r="D119" t="s">
        <v>170</v>
      </c>
      <c r="E119" t="s">
        <v>178</v>
      </c>
      <c r="F119" s="76">
        <v>73483</v>
      </c>
      <c r="G119" s="80">
        <v>42827</v>
      </c>
      <c r="H119">
        <v>1</v>
      </c>
      <c r="I119" t="s">
        <v>178</v>
      </c>
      <c r="J119" t="s">
        <v>266</v>
      </c>
      <c r="K119" s="84">
        <v>0</v>
      </c>
      <c r="L119" s="82" t="str">
        <f t="shared" si="3"/>
        <v>Marketing</v>
      </c>
    </row>
    <row r="120" spans="1:12" x14ac:dyDescent="0.35">
      <c r="A120" t="s">
        <v>127</v>
      </c>
      <c r="B120" t="s">
        <v>365</v>
      </c>
      <c r="C120" s="82" t="s">
        <v>366</v>
      </c>
      <c r="D120" t="s">
        <v>168</v>
      </c>
      <c r="E120" t="s">
        <v>174</v>
      </c>
      <c r="F120" s="76">
        <v>95032</v>
      </c>
      <c r="G120" s="80">
        <v>42834</v>
      </c>
      <c r="H120">
        <v>3</v>
      </c>
      <c r="I120" t="s">
        <v>178</v>
      </c>
      <c r="J120" t="s">
        <v>267</v>
      </c>
      <c r="K120" s="84">
        <v>0</v>
      </c>
      <c r="L120" s="82" t="str">
        <f t="shared" si="3"/>
        <v>Sales</v>
      </c>
    </row>
    <row r="121" spans="1:12" x14ac:dyDescent="0.35">
      <c r="A121" t="s">
        <v>128</v>
      </c>
      <c r="B121" t="s">
        <v>355</v>
      </c>
      <c r="C121" s="82" t="s">
        <v>356</v>
      </c>
      <c r="D121" t="s">
        <v>168</v>
      </c>
      <c r="E121" t="s">
        <v>176</v>
      </c>
      <c r="F121" s="76">
        <v>44358</v>
      </c>
      <c r="G121" s="80">
        <v>42841</v>
      </c>
      <c r="H121">
        <v>3</v>
      </c>
      <c r="I121" t="s">
        <v>181</v>
      </c>
      <c r="J121" t="s">
        <v>200</v>
      </c>
      <c r="K121" s="84">
        <v>0</v>
      </c>
      <c r="L121" s="82" t="str">
        <f t="shared" si="3"/>
        <v>Sales</v>
      </c>
    </row>
    <row r="122" spans="1:12" x14ac:dyDescent="0.35">
      <c r="A122" t="s">
        <v>129</v>
      </c>
      <c r="B122" t="s">
        <v>178</v>
      </c>
      <c r="C122"/>
      <c r="D122" t="s">
        <v>169</v>
      </c>
      <c r="E122" t="s">
        <v>173</v>
      </c>
      <c r="F122" s="76" t="s">
        <v>177</v>
      </c>
      <c r="G122" s="80">
        <v>42853</v>
      </c>
      <c r="H122">
        <v>5</v>
      </c>
      <c r="I122" t="s">
        <v>178</v>
      </c>
      <c r="J122" t="s">
        <v>268</v>
      </c>
      <c r="K122" s="84">
        <v>0</v>
      </c>
      <c r="L122" s="82" t="str">
        <f t="shared" si="3"/>
        <v>IT</v>
      </c>
    </row>
    <row r="123" spans="1:12" x14ac:dyDescent="0.35">
      <c r="A123" t="s">
        <v>130</v>
      </c>
      <c r="B123" t="s">
        <v>365</v>
      </c>
      <c r="C123" s="82" t="s">
        <v>366</v>
      </c>
      <c r="D123" t="s">
        <v>168</v>
      </c>
      <c r="E123" t="s">
        <v>173</v>
      </c>
      <c r="F123" s="76">
        <v>45676</v>
      </c>
      <c r="G123" s="80">
        <v>42855</v>
      </c>
      <c r="H123">
        <v>2</v>
      </c>
      <c r="I123" t="s">
        <v>178</v>
      </c>
      <c r="J123" t="s">
        <v>269</v>
      </c>
      <c r="K123" s="84">
        <v>0</v>
      </c>
      <c r="L123" s="82" t="str">
        <f t="shared" si="3"/>
        <v>Sales</v>
      </c>
    </row>
    <row r="124" spans="1:12" x14ac:dyDescent="0.35">
      <c r="A124" t="s">
        <v>131</v>
      </c>
      <c r="B124" t="s">
        <v>367</v>
      </c>
      <c r="C124" s="82" t="s">
        <v>368</v>
      </c>
      <c r="D124" t="s">
        <v>168</v>
      </c>
      <c r="E124" t="s">
        <v>172</v>
      </c>
      <c r="F124" s="76">
        <v>52036</v>
      </c>
      <c r="G124" s="80">
        <v>42862</v>
      </c>
      <c r="H124">
        <v>3</v>
      </c>
      <c r="I124" t="s">
        <v>180</v>
      </c>
      <c r="J124" t="s">
        <v>270</v>
      </c>
      <c r="K124" s="84">
        <v>0</v>
      </c>
      <c r="L124" s="82" t="str">
        <f t="shared" si="3"/>
        <v>Sales</v>
      </c>
    </row>
    <row r="125" spans="1:12" x14ac:dyDescent="0.35">
      <c r="A125" t="s">
        <v>132</v>
      </c>
      <c r="B125" t="s">
        <v>361</v>
      </c>
      <c r="C125" s="82" t="s">
        <v>362</v>
      </c>
      <c r="D125" t="s">
        <v>178</v>
      </c>
      <c r="E125" t="s">
        <v>172</v>
      </c>
      <c r="F125" s="76">
        <v>30357</v>
      </c>
      <c r="G125" s="80">
        <v>42869</v>
      </c>
      <c r="H125">
        <v>5</v>
      </c>
      <c r="I125" t="s">
        <v>180</v>
      </c>
      <c r="J125" t="s">
        <v>248</v>
      </c>
      <c r="K125" s="84">
        <v>0</v>
      </c>
      <c r="L125" s="82" t="str">
        <f t="shared" si="3"/>
        <v>Unknown</v>
      </c>
    </row>
    <row r="126" spans="1:12" x14ac:dyDescent="0.35">
      <c r="A126" t="s">
        <v>133</v>
      </c>
      <c r="B126" t="s">
        <v>359</v>
      </c>
      <c r="C126" s="82" t="s">
        <v>360</v>
      </c>
      <c r="D126" t="s">
        <v>169</v>
      </c>
      <c r="E126" t="s">
        <v>178</v>
      </c>
      <c r="F126" s="76">
        <v>60034</v>
      </c>
      <c r="G126" s="80">
        <v>42876</v>
      </c>
      <c r="H126">
        <v>1</v>
      </c>
      <c r="I126" t="s">
        <v>181</v>
      </c>
      <c r="J126" t="s">
        <v>271</v>
      </c>
      <c r="K126" s="84">
        <v>0</v>
      </c>
      <c r="L126" s="82" t="str">
        <f t="shared" si="3"/>
        <v>IT</v>
      </c>
    </row>
    <row r="127" spans="1:12" x14ac:dyDescent="0.35">
      <c r="A127" t="s">
        <v>134</v>
      </c>
      <c r="B127" t="s">
        <v>359</v>
      </c>
      <c r="C127" s="82" t="s">
        <v>360</v>
      </c>
      <c r="D127" t="s">
        <v>166</v>
      </c>
      <c r="E127" t="s">
        <v>171</v>
      </c>
      <c r="F127" s="76">
        <v>90019</v>
      </c>
      <c r="G127" s="80">
        <v>42883</v>
      </c>
      <c r="H127">
        <v>5</v>
      </c>
      <c r="I127" t="s">
        <v>178</v>
      </c>
      <c r="J127" t="s">
        <v>272</v>
      </c>
      <c r="K127" s="84">
        <v>0</v>
      </c>
      <c r="L127" s="82" t="str">
        <f t="shared" si="3"/>
        <v>Finance</v>
      </c>
    </row>
    <row r="128" spans="1:12" x14ac:dyDescent="0.35">
      <c r="A128" t="s">
        <v>135</v>
      </c>
      <c r="B128" t="s">
        <v>367</v>
      </c>
      <c r="C128" s="82" t="s">
        <v>368</v>
      </c>
      <c r="D128" t="s">
        <v>178</v>
      </c>
      <c r="E128" t="s">
        <v>172</v>
      </c>
      <c r="F128" s="76">
        <v>71494</v>
      </c>
      <c r="G128" s="80">
        <v>42890</v>
      </c>
      <c r="H128">
        <v>3</v>
      </c>
      <c r="I128" t="s">
        <v>180</v>
      </c>
      <c r="J128" t="s">
        <v>273</v>
      </c>
      <c r="K128" s="84">
        <v>0</v>
      </c>
      <c r="L128" s="82" t="str">
        <f t="shared" si="3"/>
        <v>Unknown</v>
      </c>
    </row>
    <row r="129" spans="1:12" x14ac:dyDescent="0.35">
      <c r="A129" t="s">
        <v>136</v>
      </c>
      <c r="B129" t="s">
        <v>359</v>
      </c>
      <c r="C129" s="82" t="s">
        <v>360</v>
      </c>
      <c r="D129" t="s">
        <v>166</v>
      </c>
      <c r="E129" t="s">
        <v>173</v>
      </c>
      <c r="F129" s="76">
        <v>91953</v>
      </c>
      <c r="G129" s="80">
        <v>42897</v>
      </c>
      <c r="H129">
        <v>2</v>
      </c>
      <c r="I129" t="s">
        <v>180</v>
      </c>
      <c r="J129" t="s">
        <v>209</v>
      </c>
      <c r="K129" s="84">
        <v>0</v>
      </c>
      <c r="L129" s="82" t="str">
        <f t="shared" si="3"/>
        <v>Finance</v>
      </c>
    </row>
    <row r="130" spans="1:12" x14ac:dyDescent="0.35">
      <c r="A130" t="s">
        <v>137</v>
      </c>
      <c r="B130" t="s">
        <v>365</v>
      </c>
      <c r="C130" s="82" t="s">
        <v>366</v>
      </c>
      <c r="D130" t="s">
        <v>168</v>
      </c>
      <c r="E130" t="s">
        <v>173</v>
      </c>
      <c r="F130" s="76">
        <v>30402</v>
      </c>
      <c r="G130" s="80">
        <v>42904</v>
      </c>
      <c r="H130">
        <v>1</v>
      </c>
      <c r="I130" t="s">
        <v>178</v>
      </c>
      <c r="J130" t="s">
        <v>274</v>
      </c>
      <c r="K130" s="84">
        <v>0</v>
      </c>
      <c r="L130" s="82" t="str">
        <f t="shared" ref="L130:L151" si="4">TRIM(D130)</f>
        <v>Sales</v>
      </c>
    </row>
    <row r="131" spans="1:12" x14ac:dyDescent="0.35">
      <c r="A131" t="s">
        <v>138</v>
      </c>
      <c r="B131" t="s">
        <v>367</v>
      </c>
      <c r="C131" s="82" t="s">
        <v>368</v>
      </c>
      <c r="D131" t="s">
        <v>178</v>
      </c>
      <c r="E131" t="s">
        <v>175</v>
      </c>
      <c r="F131" s="76">
        <v>62994</v>
      </c>
      <c r="G131" s="80">
        <v>42911</v>
      </c>
      <c r="H131">
        <v>3</v>
      </c>
      <c r="I131" t="s">
        <v>178</v>
      </c>
      <c r="J131" t="s">
        <v>221</v>
      </c>
      <c r="K131" s="84">
        <v>0</v>
      </c>
      <c r="L131" s="82" t="str">
        <f t="shared" si="4"/>
        <v>Unknown</v>
      </c>
    </row>
    <row r="132" spans="1:12" x14ac:dyDescent="0.35">
      <c r="A132" t="s">
        <v>139</v>
      </c>
      <c r="B132" t="s">
        <v>357</v>
      </c>
      <c r="C132" s="82" t="s">
        <v>358</v>
      </c>
      <c r="D132" t="s">
        <v>168</v>
      </c>
      <c r="E132" t="s">
        <v>174</v>
      </c>
      <c r="F132" s="76">
        <v>48289</v>
      </c>
      <c r="G132" s="80">
        <v>42920</v>
      </c>
      <c r="H132">
        <v>3</v>
      </c>
      <c r="I132" t="s">
        <v>180</v>
      </c>
      <c r="J132" t="s">
        <v>189</v>
      </c>
      <c r="K132" s="84">
        <v>0</v>
      </c>
      <c r="L132" s="82" t="str">
        <f t="shared" si="4"/>
        <v>Sales</v>
      </c>
    </row>
    <row r="133" spans="1:12" x14ac:dyDescent="0.35">
      <c r="A133" t="s">
        <v>140</v>
      </c>
      <c r="B133" t="s">
        <v>363</v>
      </c>
      <c r="C133" s="82" t="s">
        <v>364</v>
      </c>
      <c r="D133" t="s">
        <v>170</v>
      </c>
      <c r="E133" t="s">
        <v>172</v>
      </c>
      <c r="F133" s="76">
        <v>34402</v>
      </c>
      <c r="G133" s="80">
        <v>42925</v>
      </c>
      <c r="H133">
        <v>3</v>
      </c>
      <c r="I133" t="s">
        <v>179</v>
      </c>
      <c r="J133" t="s">
        <v>218</v>
      </c>
      <c r="K133" s="84">
        <v>0</v>
      </c>
      <c r="L133" s="82" t="str">
        <f t="shared" si="4"/>
        <v>Marketing</v>
      </c>
    </row>
    <row r="134" spans="1:12" x14ac:dyDescent="0.35">
      <c r="A134" t="s">
        <v>141</v>
      </c>
      <c r="B134" t="s">
        <v>355</v>
      </c>
      <c r="C134" s="82" t="s">
        <v>356</v>
      </c>
      <c r="D134" t="s">
        <v>167</v>
      </c>
      <c r="E134" t="s">
        <v>173</v>
      </c>
      <c r="F134" s="76">
        <v>38678</v>
      </c>
      <c r="G134" s="80">
        <v>42932</v>
      </c>
      <c r="H134">
        <v>3</v>
      </c>
      <c r="I134" t="s">
        <v>179</v>
      </c>
      <c r="J134" t="s">
        <v>275</v>
      </c>
      <c r="K134" s="84">
        <v>0</v>
      </c>
      <c r="L134" s="82" t="str">
        <f t="shared" si="4"/>
        <v>HR</v>
      </c>
    </row>
    <row r="135" spans="1:12" x14ac:dyDescent="0.35">
      <c r="A135" t="s">
        <v>142</v>
      </c>
      <c r="B135" t="s">
        <v>365</v>
      </c>
      <c r="C135" s="82" t="s">
        <v>366</v>
      </c>
      <c r="D135" t="s">
        <v>167</v>
      </c>
      <c r="E135" t="s">
        <v>172</v>
      </c>
      <c r="F135" s="76">
        <v>45758</v>
      </c>
      <c r="G135" s="80">
        <v>42939</v>
      </c>
      <c r="H135">
        <v>3</v>
      </c>
      <c r="I135" t="s">
        <v>178</v>
      </c>
      <c r="J135" t="s">
        <v>264</v>
      </c>
      <c r="K135" s="84">
        <v>0</v>
      </c>
      <c r="L135" s="82" t="str">
        <f t="shared" si="4"/>
        <v>HR</v>
      </c>
    </row>
    <row r="136" spans="1:12" x14ac:dyDescent="0.35">
      <c r="A136" t="s">
        <v>143</v>
      </c>
      <c r="B136" t="s">
        <v>355</v>
      </c>
      <c r="C136" s="82" t="s">
        <v>356</v>
      </c>
      <c r="D136" t="s">
        <v>170</v>
      </c>
      <c r="E136" t="s">
        <v>174</v>
      </c>
      <c r="F136" s="76">
        <v>62476</v>
      </c>
      <c r="G136" s="80">
        <v>42946</v>
      </c>
      <c r="H136">
        <v>1</v>
      </c>
      <c r="I136" t="s">
        <v>179</v>
      </c>
      <c r="J136" t="s">
        <v>231</v>
      </c>
      <c r="K136" s="84">
        <v>0</v>
      </c>
      <c r="L136" s="82" t="str">
        <f t="shared" si="4"/>
        <v>Marketing</v>
      </c>
    </row>
    <row r="137" spans="1:12" x14ac:dyDescent="0.35">
      <c r="A137" t="s">
        <v>144</v>
      </c>
      <c r="B137" t="s">
        <v>178</v>
      </c>
      <c r="C137"/>
      <c r="D137" t="s">
        <v>169</v>
      </c>
      <c r="E137" t="s">
        <v>175</v>
      </c>
      <c r="F137" s="76">
        <v>39280</v>
      </c>
      <c r="G137" s="80">
        <v>42953</v>
      </c>
      <c r="H137">
        <v>3</v>
      </c>
      <c r="I137" t="s">
        <v>181</v>
      </c>
      <c r="J137" t="s">
        <v>214</v>
      </c>
      <c r="K137" s="84">
        <v>0</v>
      </c>
      <c r="L137" s="82" t="str">
        <f t="shared" si="4"/>
        <v>IT</v>
      </c>
    </row>
    <row r="138" spans="1:12" x14ac:dyDescent="0.35">
      <c r="A138" t="s">
        <v>145</v>
      </c>
      <c r="B138" t="s">
        <v>361</v>
      </c>
      <c r="C138" s="82" t="s">
        <v>362</v>
      </c>
      <c r="D138" t="s">
        <v>166</v>
      </c>
      <c r="E138" t="s">
        <v>174</v>
      </c>
      <c r="F138" s="76">
        <v>60335</v>
      </c>
      <c r="G138" s="80">
        <v>42960</v>
      </c>
      <c r="H138">
        <v>4</v>
      </c>
      <c r="I138" t="s">
        <v>179</v>
      </c>
      <c r="J138" t="s">
        <v>227</v>
      </c>
      <c r="K138" s="84">
        <v>0</v>
      </c>
      <c r="L138" s="82" t="str">
        <f t="shared" si="4"/>
        <v>Finance</v>
      </c>
    </row>
    <row r="139" spans="1:12" x14ac:dyDescent="0.35">
      <c r="A139" t="s">
        <v>146</v>
      </c>
      <c r="B139" t="s">
        <v>365</v>
      </c>
      <c r="C139" s="82" t="s">
        <v>366</v>
      </c>
      <c r="D139" t="s">
        <v>167</v>
      </c>
      <c r="E139" t="s">
        <v>172</v>
      </c>
      <c r="F139" s="76">
        <v>84968</v>
      </c>
      <c r="G139" s="80">
        <v>42967</v>
      </c>
      <c r="H139">
        <v>3</v>
      </c>
      <c r="I139" t="s">
        <v>178</v>
      </c>
      <c r="J139" t="s">
        <v>276</v>
      </c>
      <c r="K139" s="84">
        <v>0</v>
      </c>
      <c r="L139" s="82" t="str">
        <f t="shared" si="4"/>
        <v>HR</v>
      </c>
    </row>
    <row r="140" spans="1:12" x14ac:dyDescent="0.35">
      <c r="A140" t="s">
        <v>147</v>
      </c>
      <c r="B140" t="s">
        <v>365</v>
      </c>
      <c r="C140" s="82" t="s">
        <v>366</v>
      </c>
      <c r="D140" t="s">
        <v>170</v>
      </c>
      <c r="E140" t="s">
        <v>176</v>
      </c>
      <c r="F140" s="76">
        <v>84750</v>
      </c>
      <c r="G140" s="80">
        <v>42974</v>
      </c>
      <c r="H140">
        <v>4</v>
      </c>
      <c r="I140" t="s">
        <v>181</v>
      </c>
      <c r="J140" t="s">
        <v>195</v>
      </c>
      <c r="K140" s="84">
        <v>0</v>
      </c>
      <c r="L140" s="82" t="str">
        <f t="shared" si="4"/>
        <v>Marketing</v>
      </c>
    </row>
    <row r="141" spans="1:12" x14ac:dyDescent="0.35">
      <c r="A141" t="s">
        <v>148</v>
      </c>
      <c r="B141" t="s">
        <v>367</v>
      </c>
      <c r="C141" s="82" t="s">
        <v>368</v>
      </c>
      <c r="D141" t="s">
        <v>169</v>
      </c>
      <c r="E141" t="s">
        <v>178</v>
      </c>
      <c r="F141" s="76">
        <v>73348</v>
      </c>
      <c r="G141" s="80">
        <v>42981</v>
      </c>
      <c r="H141">
        <v>2</v>
      </c>
      <c r="I141" t="s">
        <v>178</v>
      </c>
      <c r="J141" t="s">
        <v>243</v>
      </c>
      <c r="K141" s="84">
        <v>0</v>
      </c>
      <c r="L141" s="82" t="str">
        <f t="shared" si="4"/>
        <v>IT</v>
      </c>
    </row>
    <row r="142" spans="1:12" x14ac:dyDescent="0.35">
      <c r="A142" t="s">
        <v>149</v>
      </c>
      <c r="B142" t="s">
        <v>365</v>
      </c>
      <c r="C142" s="82" t="s">
        <v>366</v>
      </c>
      <c r="D142" t="s">
        <v>168</v>
      </c>
      <c r="E142" t="s">
        <v>173</v>
      </c>
      <c r="F142" s="76" t="s">
        <v>177</v>
      </c>
      <c r="G142" s="80">
        <v>42988</v>
      </c>
      <c r="H142">
        <v>4</v>
      </c>
      <c r="I142" t="s">
        <v>179</v>
      </c>
      <c r="J142" t="s">
        <v>182</v>
      </c>
      <c r="K142" s="84">
        <v>0</v>
      </c>
      <c r="L142" s="82" t="str">
        <f t="shared" si="4"/>
        <v>Sales</v>
      </c>
    </row>
    <row r="143" spans="1:12" x14ac:dyDescent="0.35">
      <c r="A143" t="s">
        <v>150</v>
      </c>
      <c r="B143" t="s">
        <v>361</v>
      </c>
      <c r="C143" s="82" t="s">
        <v>362</v>
      </c>
      <c r="D143" t="s">
        <v>170</v>
      </c>
      <c r="E143" t="s">
        <v>173</v>
      </c>
      <c r="F143" s="76">
        <v>66882</v>
      </c>
      <c r="G143" s="80">
        <v>42995</v>
      </c>
      <c r="H143">
        <v>5</v>
      </c>
      <c r="I143" t="s">
        <v>179</v>
      </c>
      <c r="J143" t="s">
        <v>207</v>
      </c>
      <c r="K143" s="84">
        <v>0</v>
      </c>
      <c r="L143" s="82" t="str">
        <f t="shared" si="4"/>
        <v>Marketing</v>
      </c>
    </row>
    <row r="144" spans="1:12" x14ac:dyDescent="0.35">
      <c r="A144" t="s">
        <v>151</v>
      </c>
      <c r="B144" t="s">
        <v>357</v>
      </c>
      <c r="C144" s="82" t="s">
        <v>358</v>
      </c>
      <c r="D144" t="s">
        <v>170</v>
      </c>
      <c r="E144" t="s">
        <v>178</v>
      </c>
      <c r="F144" s="76">
        <v>86775</v>
      </c>
      <c r="G144" s="80">
        <v>43002</v>
      </c>
      <c r="H144">
        <v>3</v>
      </c>
      <c r="I144" t="s">
        <v>179</v>
      </c>
      <c r="J144" t="s">
        <v>212</v>
      </c>
      <c r="K144" s="84">
        <v>0</v>
      </c>
      <c r="L144" s="82" t="str">
        <f t="shared" si="4"/>
        <v>Marketing</v>
      </c>
    </row>
    <row r="145" spans="1:12" x14ac:dyDescent="0.35">
      <c r="A145" t="s">
        <v>152</v>
      </c>
      <c r="B145" t="s">
        <v>365</v>
      </c>
      <c r="C145" s="82" t="s">
        <v>366</v>
      </c>
      <c r="D145" t="s">
        <v>168</v>
      </c>
      <c r="E145" t="s">
        <v>175</v>
      </c>
      <c r="F145" s="76">
        <v>91620</v>
      </c>
      <c r="G145" s="80">
        <v>43009</v>
      </c>
      <c r="H145">
        <v>3</v>
      </c>
      <c r="I145" t="s">
        <v>178</v>
      </c>
      <c r="J145" t="s">
        <v>277</v>
      </c>
      <c r="K145" s="84">
        <v>0</v>
      </c>
      <c r="L145" s="82" t="str">
        <f t="shared" si="4"/>
        <v>Sales</v>
      </c>
    </row>
    <row r="146" spans="1:12" x14ac:dyDescent="0.35">
      <c r="A146" t="s">
        <v>153</v>
      </c>
      <c r="B146" t="s">
        <v>355</v>
      </c>
      <c r="C146" s="82" t="s">
        <v>356</v>
      </c>
      <c r="D146" t="s">
        <v>178</v>
      </c>
      <c r="E146" t="s">
        <v>178</v>
      </c>
      <c r="F146" s="76">
        <v>94148</v>
      </c>
      <c r="G146" s="80">
        <v>43016</v>
      </c>
      <c r="H146">
        <v>2</v>
      </c>
      <c r="I146" t="s">
        <v>178</v>
      </c>
      <c r="J146" t="s">
        <v>278</v>
      </c>
      <c r="K146" s="84">
        <v>0</v>
      </c>
      <c r="L146" s="82" t="str">
        <f t="shared" si="4"/>
        <v>Unknown</v>
      </c>
    </row>
    <row r="147" spans="1:12" x14ac:dyDescent="0.35">
      <c r="A147" t="s">
        <v>154</v>
      </c>
      <c r="B147" t="s">
        <v>363</v>
      </c>
      <c r="C147" s="82" t="s">
        <v>364</v>
      </c>
      <c r="D147" t="s">
        <v>168</v>
      </c>
      <c r="E147" t="s">
        <v>176</v>
      </c>
      <c r="F147" s="76">
        <v>35627</v>
      </c>
      <c r="G147" s="80">
        <v>43023</v>
      </c>
      <c r="H147">
        <v>5</v>
      </c>
      <c r="I147" t="s">
        <v>181</v>
      </c>
      <c r="J147" t="s">
        <v>275</v>
      </c>
      <c r="K147" s="84">
        <v>0</v>
      </c>
      <c r="L147" s="82" t="str">
        <f t="shared" si="4"/>
        <v>Sales</v>
      </c>
    </row>
    <row r="148" spans="1:12" x14ac:dyDescent="0.35">
      <c r="A148" t="s">
        <v>155</v>
      </c>
      <c r="B148" t="s">
        <v>359</v>
      </c>
      <c r="C148" s="82" t="s">
        <v>360</v>
      </c>
      <c r="D148" t="s">
        <v>170</v>
      </c>
      <c r="E148" t="s">
        <v>173</v>
      </c>
      <c r="F148" s="76">
        <v>57141</v>
      </c>
      <c r="G148" s="80">
        <v>43030</v>
      </c>
      <c r="H148">
        <v>2</v>
      </c>
      <c r="I148" t="s">
        <v>178</v>
      </c>
      <c r="J148" t="s">
        <v>276</v>
      </c>
      <c r="K148" s="84">
        <v>0</v>
      </c>
      <c r="L148" s="82" t="str">
        <f t="shared" si="4"/>
        <v>Marketing</v>
      </c>
    </row>
    <row r="149" spans="1:12" x14ac:dyDescent="0.35">
      <c r="A149" t="s">
        <v>156</v>
      </c>
      <c r="B149" t="s">
        <v>367</v>
      </c>
      <c r="C149" s="82" t="s">
        <v>368</v>
      </c>
      <c r="D149" t="s">
        <v>168</v>
      </c>
      <c r="E149" t="s">
        <v>176</v>
      </c>
      <c r="F149" s="76">
        <v>65270</v>
      </c>
      <c r="G149" s="80">
        <v>43037</v>
      </c>
      <c r="H149">
        <v>1</v>
      </c>
      <c r="I149" t="s">
        <v>178</v>
      </c>
      <c r="J149" t="s">
        <v>279</v>
      </c>
      <c r="K149" s="84">
        <v>0</v>
      </c>
      <c r="L149" s="82" t="str">
        <f t="shared" si="4"/>
        <v>Sales</v>
      </c>
    </row>
    <row r="150" spans="1:12" x14ac:dyDescent="0.35">
      <c r="A150" t="s">
        <v>157</v>
      </c>
      <c r="B150" t="s">
        <v>367</v>
      </c>
      <c r="C150" s="82" t="s">
        <v>368</v>
      </c>
      <c r="D150" t="s">
        <v>178</v>
      </c>
      <c r="E150" t="s">
        <v>175</v>
      </c>
      <c r="F150" s="76">
        <v>67335</v>
      </c>
      <c r="G150" s="80">
        <v>43044</v>
      </c>
      <c r="H150">
        <v>1</v>
      </c>
      <c r="I150" t="s">
        <v>179</v>
      </c>
      <c r="J150" t="s">
        <v>233</v>
      </c>
      <c r="K150" s="84">
        <v>0</v>
      </c>
      <c r="L150" s="82" t="str">
        <f t="shared" si="4"/>
        <v>Unknown</v>
      </c>
    </row>
    <row r="151" spans="1:12" x14ac:dyDescent="0.35">
      <c r="A151" t="s">
        <v>158</v>
      </c>
      <c r="B151" t="s">
        <v>363</v>
      </c>
      <c r="C151" s="82" t="s">
        <v>364</v>
      </c>
      <c r="D151" t="s">
        <v>170</v>
      </c>
      <c r="E151" t="s">
        <v>174</v>
      </c>
      <c r="F151" s="76">
        <v>98475</v>
      </c>
      <c r="G151" s="80">
        <v>43051</v>
      </c>
      <c r="H151">
        <v>5</v>
      </c>
      <c r="I151" t="s">
        <v>179</v>
      </c>
      <c r="J151" t="s">
        <v>280</v>
      </c>
      <c r="K151" s="84">
        <v>0</v>
      </c>
      <c r="L151" s="82" t="str">
        <f t="shared" si="4"/>
        <v>Marketing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J1048574"/>
  <sheetViews>
    <sheetView topLeftCell="D1" workbookViewId="0">
      <selection activeCell="J14" sqref="J14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7.81640625" bestFit="1" customWidth="1"/>
  </cols>
  <sheetData>
    <row r="1" spans="1:10" s="22" customFormat="1" ht="15.5" x14ac:dyDescent="0.35">
      <c r="A1" s="90" t="s">
        <v>0</v>
      </c>
      <c r="B1" s="91" t="s">
        <v>1</v>
      </c>
      <c r="C1" s="90" t="s">
        <v>2</v>
      </c>
      <c r="D1" s="90" t="s">
        <v>3</v>
      </c>
      <c r="E1" s="92" t="s">
        <v>4</v>
      </c>
      <c r="F1" s="93" t="s">
        <v>6</v>
      </c>
      <c r="G1" s="90" t="s">
        <v>7</v>
      </c>
      <c r="H1" s="90" t="s">
        <v>8</v>
      </c>
    </row>
    <row r="2" spans="1:10" ht="13" customHeight="1" x14ac:dyDescent="0.35">
      <c r="A2" s="94" t="s">
        <v>9</v>
      </c>
      <c r="B2" s="94"/>
      <c r="C2" s="94" t="s">
        <v>166</v>
      </c>
      <c r="D2" s="94" t="s">
        <v>171</v>
      </c>
      <c r="E2" s="95" t="s">
        <v>177</v>
      </c>
      <c r="F2" s="96">
        <v>2</v>
      </c>
      <c r="G2" s="94" t="s">
        <v>178</v>
      </c>
      <c r="H2" s="94" t="s">
        <v>182</v>
      </c>
      <c r="J2" s="100" t="s">
        <v>374</v>
      </c>
    </row>
    <row r="3" spans="1:10" x14ac:dyDescent="0.35">
      <c r="A3" s="94" t="s">
        <v>10</v>
      </c>
      <c r="B3" s="94" t="s">
        <v>159</v>
      </c>
      <c r="C3" s="94" t="s">
        <v>167</v>
      </c>
      <c r="D3" s="94" t="s">
        <v>172</v>
      </c>
      <c r="E3" s="97">
        <v>54255</v>
      </c>
      <c r="F3" s="96">
        <v>1</v>
      </c>
      <c r="G3" s="94" t="s">
        <v>179</v>
      </c>
      <c r="H3" s="94" t="s">
        <v>183</v>
      </c>
      <c r="J3" s="23" t="s">
        <v>375</v>
      </c>
    </row>
    <row r="4" spans="1:10" x14ac:dyDescent="0.35">
      <c r="A4" s="94" t="s">
        <v>11</v>
      </c>
      <c r="B4" s="94" t="s">
        <v>160</v>
      </c>
      <c r="C4" s="94" t="s">
        <v>166</v>
      </c>
      <c r="D4" s="94" t="s">
        <v>172</v>
      </c>
      <c r="E4" s="97">
        <v>63184</v>
      </c>
      <c r="F4" s="96">
        <v>2</v>
      </c>
      <c r="G4" s="94"/>
      <c r="H4" s="94" t="s">
        <v>184</v>
      </c>
      <c r="J4" s="38" t="s">
        <v>376</v>
      </c>
    </row>
    <row r="5" spans="1:10" x14ac:dyDescent="0.35">
      <c r="A5" s="94" t="s">
        <v>12</v>
      </c>
      <c r="B5" s="94" t="s">
        <v>161</v>
      </c>
      <c r="C5" s="94" t="s">
        <v>168</v>
      </c>
      <c r="D5" s="94" t="s">
        <v>173</v>
      </c>
      <c r="E5" s="97">
        <v>94406</v>
      </c>
      <c r="F5" s="96">
        <v>1</v>
      </c>
      <c r="G5" s="94" t="s">
        <v>180</v>
      </c>
      <c r="H5" s="94" t="s">
        <v>185</v>
      </c>
    </row>
    <row r="6" spans="1:10" x14ac:dyDescent="0.35">
      <c r="A6" s="94" t="s">
        <v>13</v>
      </c>
      <c r="B6" s="94" t="s">
        <v>162</v>
      </c>
      <c r="C6" s="94" t="s">
        <v>168</v>
      </c>
      <c r="D6" s="94" t="s">
        <v>172</v>
      </c>
      <c r="E6" s="97">
        <v>64120</v>
      </c>
      <c r="F6" s="96">
        <v>1</v>
      </c>
      <c r="G6" s="94" t="s">
        <v>180</v>
      </c>
      <c r="H6" s="94" t="s">
        <v>186</v>
      </c>
    </row>
    <row r="7" spans="1:10" x14ac:dyDescent="0.35">
      <c r="A7" s="94" t="s">
        <v>14</v>
      </c>
      <c r="B7" s="94" t="s">
        <v>160</v>
      </c>
      <c r="C7" s="94" t="s">
        <v>169</v>
      </c>
      <c r="D7" s="94" t="s">
        <v>174</v>
      </c>
      <c r="E7" s="97">
        <v>78421</v>
      </c>
      <c r="F7" s="96">
        <v>2</v>
      </c>
      <c r="G7" s="94" t="s">
        <v>181</v>
      </c>
      <c r="H7" s="94" t="s">
        <v>187</v>
      </c>
    </row>
    <row r="8" spans="1:10" x14ac:dyDescent="0.35">
      <c r="A8" s="94" t="s">
        <v>15</v>
      </c>
      <c r="B8" s="94" t="s">
        <v>163</v>
      </c>
      <c r="C8" s="94" t="s">
        <v>168</v>
      </c>
      <c r="D8" s="94"/>
      <c r="E8" s="97">
        <v>67721</v>
      </c>
      <c r="F8" s="96"/>
      <c r="G8" s="94" t="s">
        <v>180</v>
      </c>
      <c r="H8" s="94" t="s">
        <v>185</v>
      </c>
    </row>
    <row r="9" spans="1:10" x14ac:dyDescent="0.35">
      <c r="A9" s="94" t="s">
        <v>16</v>
      </c>
      <c r="B9" s="94" t="s">
        <v>164</v>
      </c>
      <c r="C9" s="94" t="s">
        <v>170</v>
      </c>
      <c r="D9" s="94"/>
      <c r="E9" s="97">
        <v>35364</v>
      </c>
      <c r="F9" s="96">
        <v>2</v>
      </c>
      <c r="G9" s="94" t="s">
        <v>179</v>
      </c>
      <c r="H9" s="94" t="s">
        <v>188</v>
      </c>
    </row>
    <row r="10" spans="1:10" x14ac:dyDescent="0.35">
      <c r="A10" s="94" t="s">
        <v>17</v>
      </c>
      <c r="B10" s="94" t="s">
        <v>160</v>
      </c>
      <c r="C10" s="94" t="s">
        <v>169</v>
      </c>
      <c r="D10" s="94" t="s">
        <v>172</v>
      </c>
      <c r="E10" s="97">
        <v>97881</v>
      </c>
      <c r="F10" s="96"/>
      <c r="G10" s="94" t="s">
        <v>181</v>
      </c>
      <c r="H10" s="94" t="s">
        <v>189</v>
      </c>
    </row>
    <row r="11" spans="1:10" x14ac:dyDescent="0.35">
      <c r="A11" s="94" t="s">
        <v>18</v>
      </c>
      <c r="B11" s="94" t="s">
        <v>164</v>
      </c>
      <c r="C11" s="94" t="s">
        <v>167</v>
      </c>
      <c r="D11" s="94" t="s">
        <v>175</v>
      </c>
      <c r="E11" s="97">
        <v>91846</v>
      </c>
      <c r="F11" s="96"/>
      <c r="G11" s="94" t="s">
        <v>180</v>
      </c>
      <c r="H11" s="94" t="s">
        <v>190</v>
      </c>
    </row>
    <row r="12" spans="1:10" x14ac:dyDescent="0.35">
      <c r="A12" s="94" t="s">
        <v>19</v>
      </c>
      <c r="B12" s="94" t="s">
        <v>163</v>
      </c>
      <c r="C12" s="94" t="s">
        <v>166</v>
      </c>
      <c r="D12" s="94" t="s">
        <v>175</v>
      </c>
      <c r="E12" s="97">
        <v>64247</v>
      </c>
      <c r="F12" s="96">
        <v>1</v>
      </c>
      <c r="G12" s="94" t="s">
        <v>181</v>
      </c>
      <c r="H12" s="94" t="s">
        <v>191</v>
      </c>
    </row>
    <row r="13" spans="1:10" x14ac:dyDescent="0.35">
      <c r="A13" s="94" t="s">
        <v>20</v>
      </c>
      <c r="B13" s="94" t="s">
        <v>163</v>
      </c>
      <c r="C13" s="94" t="s">
        <v>169</v>
      </c>
      <c r="D13" s="94" t="s">
        <v>173</v>
      </c>
      <c r="E13" s="97">
        <v>91180</v>
      </c>
      <c r="F13" s="96">
        <v>5</v>
      </c>
      <c r="G13" s="94" t="s">
        <v>180</v>
      </c>
      <c r="H13" s="94" t="s">
        <v>192</v>
      </c>
    </row>
    <row r="14" spans="1:10" x14ac:dyDescent="0.35">
      <c r="A14" s="94" t="s">
        <v>21</v>
      </c>
      <c r="B14" s="94" t="s">
        <v>165</v>
      </c>
      <c r="C14" s="94" t="s">
        <v>168</v>
      </c>
      <c r="D14" s="94"/>
      <c r="E14" s="97">
        <v>96418</v>
      </c>
      <c r="F14" s="96">
        <v>5</v>
      </c>
      <c r="G14" s="94" t="s">
        <v>180</v>
      </c>
      <c r="H14" s="94" t="s">
        <v>183</v>
      </c>
    </row>
    <row r="15" spans="1:10" x14ac:dyDescent="0.35">
      <c r="A15" s="94" t="s">
        <v>22</v>
      </c>
      <c r="B15" s="94" t="s">
        <v>163</v>
      </c>
      <c r="C15" s="94"/>
      <c r="D15" s="94" t="s">
        <v>174</v>
      </c>
      <c r="E15" s="97">
        <v>62158</v>
      </c>
      <c r="F15" s="96">
        <v>4</v>
      </c>
      <c r="G15" s="94"/>
      <c r="H15" s="94" t="s">
        <v>193</v>
      </c>
    </row>
    <row r="16" spans="1:10" x14ac:dyDescent="0.35">
      <c r="A16" s="94" t="s">
        <v>23</v>
      </c>
      <c r="B16" s="94" t="s">
        <v>162</v>
      </c>
      <c r="C16" s="94" t="s">
        <v>167</v>
      </c>
      <c r="D16" s="94"/>
      <c r="E16" s="97">
        <v>59894</v>
      </c>
      <c r="F16" s="96">
        <v>2</v>
      </c>
      <c r="G16" s="94" t="s">
        <v>180</v>
      </c>
      <c r="H16" s="94" t="s">
        <v>194</v>
      </c>
    </row>
    <row r="17" spans="1:8" x14ac:dyDescent="0.35">
      <c r="A17" s="94" t="s">
        <v>24</v>
      </c>
      <c r="B17" s="94"/>
      <c r="C17" s="94" t="s">
        <v>169</v>
      </c>
      <c r="D17" s="94" t="s">
        <v>174</v>
      </c>
      <c r="E17" s="97">
        <v>92443</v>
      </c>
      <c r="F17" s="96">
        <v>3</v>
      </c>
      <c r="G17" s="94" t="s">
        <v>179</v>
      </c>
      <c r="H17" s="94" t="s">
        <v>195</v>
      </c>
    </row>
    <row r="18" spans="1:8" x14ac:dyDescent="0.35">
      <c r="A18" s="94" t="s">
        <v>25</v>
      </c>
      <c r="B18" s="94" t="s">
        <v>165</v>
      </c>
      <c r="C18" s="94"/>
      <c r="D18" s="94" t="s">
        <v>172</v>
      </c>
      <c r="E18" s="97">
        <v>90271</v>
      </c>
      <c r="F18" s="96"/>
      <c r="G18" s="94"/>
      <c r="H18" s="94" t="s">
        <v>196</v>
      </c>
    </row>
    <row r="19" spans="1:8" x14ac:dyDescent="0.35">
      <c r="A19" s="94" t="s">
        <v>26</v>
      </c>
      <c r="B19" s="94" t="s">
        <v>162</v>
      </c>
      <c r="C19" s="94" t="s">
        <v>166</v>
      </c>
      <c r="D19" s="94" t="s">
        <v>176</v>
      </c>
      <c r="E19" s="97">
        <v>41341</v>
      </c>
      <c r="F19" s="96">
        <v>1</v>
      </c>
      <c r="G19" s="94" t="s">
        <v>179</v>
      </c>
      <c r="H19" s="94" t="s">
        <v>197</v>
      </c>
    </row>
    <row r="20" spans="1:8" x14ac:dyDescent="0.35">
      <c r="A20" s="94" t="s">
        <v>27</v>
      </c>
      <c r="B20" s="94" t="s">
        <v>160</v>
      </c>
      <c r="C20" s="94" t="s">
        <v>166</v>
      </c>
      <c r="D20" s="94" t="s">
        <v>175</v>
      </c>
      <c r="E20" s="97">
        <v>73602</v>
      </c>
      <c r="F20" s="96"/>
      <c r="G20" s="94"/>
      <c r="H20" s="94" t="s">
        <v>198</v>
      </c>
    </row>
    <row r="21" spans="1:8" x14ac:dyDescent="0.35">
      <c r="A21" s="94" t="s">
        <v>28</v>
      </c>
      <c r="B21" s="94" t="s">
        <v>159</v>
      </c>
      <c r="C21" s="94"/>
      <c r="D21" s="94" t="s">
        <v>174</v>
      </c>
      <c r="E21" s="97">
        <v>67531</v>
      </c>
      <c r="F21" s="96">
        <v>5</v>
      </c>
      <c r="G21" s="94" t="s">
        <v>181</v>
      </c>
      <c r="H21" s="94" t="s">
        <v>199</v>
      </c>
    </row>
    <row r="22" spans="1:8" x14ac:dyDescent="0.35">
      <c r="A22" s="94" t="s">
        <v>29</v>
      </c>
      <c r="B22" s="94" t="s">
        <v>162</v>
      </c>
      <c r="C22" s="94" t="s">
        <v>167</v>
      </c>
      <c r="D22" s="94" t="s">
        <v>173</v>
      </c>
      <c r="E22" s="98" t="s">
        <v>177</v>
      </c>
      <c r="F22" s="96">
        <v>2</v>
      </c>
      <c r="G22" s="94" t="s">
        <v>179</v>
      </c>
      <c r="H22" s="94" t="s">
        <v>200</v>
      </c>
    </row>
    <row r="23" spans="1:8" x14ac:dyDescent="0.35">
      <c r="A23" s="94" t="s">
        <v>30</v>
      </c>
      <c r="B23" s="94" t="s">
        <v>162</v>
      </c>
      <c r="C23" s="94" t="s">
        <v>167</v>
      </c>
      <c r="D23" s="94"/>
      <c r="E23" s="97">
        <v>98922</v>
      </c>
      <c r="F23" s="96">
        <v>4</v>
      </c>
      <c r="G23" s="94"/>
      <c r="H23" s="94" t="s">
        <v>201</v>
      </c>
    </row>
    <row r="24" spans="1:8" x14ac:dyDescent="0.35">
      <c r="A24" s="94" t="s">
        <v>31</v>
      </c>
      <c r="B24" s="94" t="s">
        <v>159</v>
      </c>
      <c r="C24" s="94" t="s">
        <v>166</v>
      </c>
      <c r="D24" s="94" t="s">
        <v>174</v>
      </c>
      <c r="E24" s="97">
        <v>38333</v>
      </c>
      <c r="F24" s="96">
        <v>5</v>
      </c>
      <c r="G24" s="94"/>
      <c r="H24" s="94" t="s">
        <v>202</v>
      </c>
    </row>
    <row r="25" spans="1:8" x14ac:dyDescent="0.35">
      <c r="A25" s="94" t="s">
        <v>32</v>
      </c>
      <c r="B25" s="94" t="s">
        <v>160</v>
      </c>
      <c r="C25" s="94" t="s">
        <v>170</v>
      </c>
      <c r="D25" s="94" t="s">
        <v>175</v>
      </c>
      <c r="E25" s="97">
        <v>36515</v>
      </c>
      <c r="F25" s="96">
        <v>3</v>
      </c>
      <c r="G25" s="94" t="s">
        <v>180</v>
      </c>
      <c r="H25" s="94" t="s">
        <v>203</v>
      </c>
    </row>
    <row r="26" spans="1:8" x14ac:dyDescent="0.35">
      <c r="A26" s="94" t="s">
        <v>33</v>
      </c>
      <c r="B26" s="94" t="s">
        <v>163</v>
      </c>
      <c r="C26" s="94" t="s">
        <v>166</v>
      </c>
      <c r="D26" s="94"/>
      <c r="E26" s="97">
        <v>91005</v>
      </c>
      <c r="F26" s="96">
        <v>1</v>
      </c>
      <c r="G26" s="94" t="s">
        <v>179</v>
      </c>
      <c r="H26" s="94" t="s">
        <v>204</v>
      </c>
    </row>
    <row r="27" spans="1:8" x14ac:dyDescent="0.35">
      <c r="A27" s="94" t="s">
        <v>34</v>
      </c>
      <c r="B27" s="94" t="s">
        <v>164</v>
      </c>
      <c r="C27" s="94"/>
      <c r="D27" s="94" t="s">
        <v>171</v>
      </c>
      <c r="E27" s="97">
        <v>52272</v>
      </c>
      <c r="F27" s="96">
        <v>3</v>
      </c>
      <c r="G27" s="94"/>
      <c r="H27" s="94" t="s">
        <v>205</v>
      </c>
    </row>
    <row r="28" spans="1:8" x14ac:dyDescent="0.35">
      <c r="A28" s="94" t="s">
        <v>35</v>
      </c>
      <c r="B28" s="94" t="s">
        <v>159</v>
      </c>
      <c r="C28" s="94" t="s">
        <v>168</v>
      </c>
      <c r="D28" s="94" t="s">
        <v>172</v>
      </c>
      <c r="E28" s="97">
        <v>76518</v>
      </c>
      <c r="F28" s="96">
        <v>2</v>
      </c>
      <c r="G28" s="94" t="s">
        <v>181</v>
      </c>
      <c r="H28" s="94" t="s">
        <v>206</v>
      </c>
    </row>
    <row r="29" spans="1:8" x14ac:dyDescent="0.35">
      <c r="A29" s="94" t="s">
        <v>36</v>
      </c>
      <c r="B29" s="94" t="s">
        <v>160</v>
      </c>
      <c r="C29" s="94" t="s">
        <v>169</v>
      </c>
      <c r="D29" s="94" t="s">
        <v>175</v>
      </c>
      <c r="E29" s="97">
        <v>41448</v>
      </c>
      <c r="F29" s="96">
        <v>3</v>
      </c>
      <c r="G29" s="94" t="s">
        <v>179</v>
      </c>
      <c r="H29" s="94" t="s">
        <v>207</v>
      </c>
    </row>
    <row r="30" spans="1:8" x14ac:dyDescent="0.35">
      <c r="A30" s="94" t="s">
        <v>37</v>
      </c>
      <c r="B30" s="94" t="s">
        <v>161</v>
      </c>
      <c r="C30" s="94" t="s">
        <v>167</v>
      </c>
      <c r="D30" s="94" t="s">
        <v>175</v>
      </c>
      <c r="E30" s="97">
        <v>49282</v>
      </c>
      <c r="F30" s="96">
        <v>2</v>
      </c>
      <c r="G30" s="94" t="s">
        <v>181</v>
      </c>
      <c r="H30" s="94" t="s">
        <v>208</v>
      </c>
    </row>
    <row r="31" spans="1:8" x14ac:dyDescent="0.35">
      <c r="A31" s="94" t="s">
        <v>38</v>
      </c>
      <c r="B31" s="94" t="s">
        <v>165</v>
      </c>
      <c r="C31" s="94" t="s">
        <v>170</v>
      </c>
      <c r="D31" s="94" t="s">
        <v>175</v>
      </c>
      <c r="E31" s="97">
        <v>92959</v>
      </c>
      <c r="F31" s="96">
        <v>5</v>
      </c>
      <c r="G31" s="94"/>
      <c r="H31" s="94" t="s">
        <v>209</v>
      </c>
    </row>
    <row r="32" spans="1:8" x14ac:dyDescent="0.35">
      <c r="A32" s="94" t="s">
        <v>39</v>
      </c>
      <c r="B32" s="94"/>
      <c r="C32" s="94" t="s">
        <v>170</v>
      </c>
      <c r="D32" s="94"/>
      <c r="E32" s="97">
        <v>92259</v>
      </c>
      <c r="F32" s="96">
        <v>1</v>
      </c>
      <c r="G32" s="94" t="s">
        <v>178</v>
      </c>
      <c r="H32" s="94" t="s">
        <v>210</v>
      </c>
    </row>
    <row r="33" spans="1:8" x14ac:dyDescent="0.35">
      <c r="A33" s="94" t="s">
        <v>40</v>
      </c>
      <c r="B33" s="94" t="s">
        <v>159</v>
      </c>
      <c r="C33" s="94" t="s">
        <v>167</v>
      </c>
      <c r="D33" s="94" t="s">
        <v>172</v>
      </c>
      <c r="E33" s="97">
        <v>92299</v>
      </c>
      <c r="F33" s="96">
        <v>3</v>
      </c>
      <c r="G33" s="94" t="s">
        <v>180</v>
      </c>
      <c r="H33" s="94" t="s">
        <v>211</v>
      </c>
    </row>
    <row r="34" spans="1:8" x14ac:dyDescent="0.35">
      <c r="A34" s="94" t="s">
        <v>41</v>
      </c>
      <c r="B34" s="94" t="s">
        <v>163</v>
      </c>
      <c r="C34" s="94" t="s">
        <v>167</v>
      </c>
      <c r="D34" s="94"/>
      <c r="E34" s="97">
        <v>95586</v>
      </c>
      <c r="F34" s="96">
        <v>3</v>
      </c>
      <c r="G34" s="94" t="s">
        <v>179</v>
      </c>
      <c r="H34" s="94" t="s">
        <v>212</v>
      </c>
    </row>
    <row r="35" spans="1:8" x14ac:dyDescent="0.35">
      <c r="A35" s="94" t="s">
        <v>42</v>
      </c>
      <c r="B35" s="94" t="s">
        <v>164</v>
      </c>
      <c r="C35" s="94"/>
      <c r="D35" s="94" t="s">
        <v>173</v>
      </c>
      <c r="E35" s="97">
        <v>95367</v>
      </c>
      <c r="F35" s="96"/>
      <c r="G35" s="94" t="s">
        <v>180</v>
      </c>
      <c r="H35" s="94" t="s">
        <v>213</v>
      </c>
    </row>
    <row r="36" spans="1:8" x14ac:dyDescent="0.35">
      <c r="A36" s="94" t="s">
        <v>43</v>
      </c>
      <c r="B36" s="94" t="s">
        <v>161</v>
      </c>
      <c r="C36" s="94" t="s">
        <v>168</v>
      </c>
      <c r="D36" s="94" t="s">
        <v>176</v>
      </c>
      <c r="E36" s="97">
        <v>79549</v>
      </c>
      <c r="F36" s="96">
        <v>3</v>
      </c>
      <c r="G36" s="94"/>
      <c r="H36" s="94" t="s">
        <v>214</v>
      </c>
    </row>
    <row r="37" spans="1:8" x14ac:dyDescent="0.35">
      <c r="A37" s="94" t="s">
        <v>44</v>
      </c>
      <c r="B37" s="94" t="s">
        <v>160</v>
      </c>
      <c r="C37" s="94"/>
      <c r="D37" s="94" t="s">
        <v>175</v>
      </c>
      <c r="E37" s="97">
        <v>54463</v>
      </c>
      <c r="F37" s="96">
        <v>4</v>
      </c>
      <c r="G37" s="94" t="s">
        <v>180</v>
      </c>
      <c r="H37" s="94" t="s">
        <v>182</v>
      </c>
    </row>
    <row r="38" spans="1:8" x14ac:dyDescent="0.35">
      <c r="A38" s="94" t="s">
        <v>45</v>
      </c>
      <c r="B38" s="94" t="s">
        <v>160</v>
      </c>
      <c r="C38" s="94" t="s">
        <v>169</v>
      </c>
      <c r="D38" s="94" t="s">
        <v>173</v>
      </c>
      <c r="E38" s="97">
        <v>89781</v>
      </c>
      <c r="F38" s="96"/>
      <c r="G38" s="94" t="s">
        <v>181</v>
      </c>
      <c r="H38" s="94" t="s">
        <v>215</v>
      </c>
    </row>
    <row r="39" spans="1:8" x14ac:dyDescent="0.35">
      <c r="A39" s="94" t="s">
        <v>46</v>
      </c>
      <c r="B39" s="94" t="s">
        <v>160</v>
      </c>
      <c r="C39" s="94" t="s">
        <v>167</v>
      </c>
      <c r="D39" s="94"/>
      <c r="E39" s="97">
        <v>64796</v>
      </c>
      <c r="F39" s="96"/>
      <c r="G39" s="94" t="s">
        <v>179</v>
      </c>
      <c r="H39" s="94" t="s">
        <v>216</v>
      </c>
    </row>
    <row r="40" spans="1:8" x14ac:dyDescent="0.35">
      <c r="A40" s="94" t="s">
        <v>47</v>
      </c>
      <c r="B40" s="94" t="s">
        <v>161</v>
      </c>
      <c r="C40" s="94" t="s">
        <v>170</v>
      </c>
      <c r="D40" s="94" t="s">
        <v>175</v>
      </c>
      <c r="E40" s="97">
        <v>52093</v>
      </c>
      <c r="F40" s="96">
        <v>5</v>
      </c>
      <c r="G40" s="94"/>
      <c r="H40" s="94" t="s">
        <v>217</v>
      </c>
    </row>
    <row r="41" spans="1:8" x14ac:dyDescent="0.35">
      <c r="A41" s="94" t="s">
        <v>48</v>
      </c>
      <c r="B41" s="94" t="s">
        <v>164</v>
      </c>
      <c r="C41" s="94" t="s">
        <v>167</v>
      </c>
      <c r="D41" s="94" t="s">
        <v>175</v>
      </c>
      <c r="E41" s="97">
        <v>48224</v>
      </c>
      <c r="F41" s="96">
        <v>3</v>
      </c>
      <c r="G41" s="94"/>
      <c r="H41" s="94" t="s">
        <v>218</v>
      </c>
    </row>
    <row r="42" spans="1:8" x14ac:dyDescent="0.35">
      <c r="A42" s="94" t="s">
        <v>49</v>
      </c>
      <c r="B42" s="94" t="s">
        <v>165</v>
      </c>
      <c r="C42" s="94" t="s">
        <v>166</v>
      </c>
      <c r="D42" s="94" t="s">
        <v>175</v>
      </c>
      <c r="E42" s="98" t="s">
        <v>177</v>
      </c>
      <c r="F42" s="96">
        <v>4</v>
      </c>
      <c r="G42" s="94" t="s">
        <v>181</v>
      </c>
      <c r="H42" s="94" t="s">
        <v>219</v>
      </c>
    </row>
    <row r="43" spans="1:8" x14ac:dyDescent="0.35">
      <c r="A43" s="94" t="s">
        <v>50</v>
      </c>
      <c r="B43" s="94" t="s">
        <v>160</v>
      </c>
      <c r="C43" s="94" t="s">
        <v>169</v>
      </c>
      <c r="D43" s="94" t="s">
        <v>172</v>
      </c>
      <c r="E43" s="97">
        <v>33956</v>
      </c>
      <c r="F43" s="96"/>
      <c r="G43" s="94"/>
      <c r="H43" s="94" t="s">
        <v>220</v>
      </c>
    </row>
    <row r="44" spans="1:8" x14ac:dyDescent="0.35">
      <c r="A44" s="94" t="s">
        <v>51</v>
      </c>
      <c r="B44" s="94" t="s">
        <v>165</v>
      </c>
      <c r="C44" s="94"/>
      <c r="D44" s="94" t="s">
        <v>176</v>
      </c>
      <c r="E44" s="97">
        <v>64913</v>
      </c>
      <c r="F44" s="96">
        <v>1</v>
      </c>
      <c r="G44" s="94" t="s">
        <v>181</v>
      </c>
      <c r="H44" s="94" t="s">
        <v>221</v>
      </c>
    </row>
    <row r="45" spans="1:8" x14ac:dyDescent="0.35">
      <c r="A45" s="94" t="s">
        <v>52</v>
      </c>
      <c r="B45" s="94" t="s">
        <v>160</v>
      </c>
      <c r="C45" s="94" t="s">
        <v>170</v>
      </c>
      <c r="D45" s="94" t="s">
        <v>176</v>
      </c>
      <c r="E45" s="97">
        <v>35326</v>
      </c>
      <c r="F45" s="96"/>
      <c r="G45" s="94" t="s">
        <v>181</v>
      </c>
      <c r="H45" s="94" t="s">
        <v>222</v>
      </c>
    </row>
    <row r="46" spans="1:8" x14ac:dyDescent="0.35">
      <c r="A46" s="94" t="s">
        <v>53</v>
      </c>
      <c r="B46" s="94" t="s">
        <v>164</v>
      </c>
      <c r="C46" s="94" t="s">
        <v>166</v>
      </c>
      <c r="D46" s="94"/>
      <c r="E46" s="97">
        <v>81610</v>
      </c>
      <c r="F46" s="96">
        <v>1</v>
      </c>
      <c r="G46" s="94"/>
      <c r="H46" s="94" t="s">
        <v>223</v>
      </c>
    </row>
    <row r="47" spans="1:8" x14ac:dyDescent="0.35">
      <c r="A47" s="94" t="s">
        <v>54</v>
      </c>
      <c r="B47" s="94"/>
      <c r="C47" s="94" t="s">
        <v>167</v>
      </c>
      <c r="D47" s="94"/>
      <c r="E47" s="97">
        <v>58962</v>
      </c>
      <c r="F47" s="96">
        <v>3</v>
      </c>
      <c r="G47" s="94" t="s">
        <v>179</v>
      </c>
      <c r="H47" s="94" t="s">
        <v>183</v>
      </c>
    </row>
    <row r="48" spans="1:8" x14ac:dyDescent="0.35">
      <c r="A48" s="94" t="s">
        <v>55</v>
      </c>
      <c r="B48" s="94" t="s">
        <v>164</v>
      </c>
      <c r="C48" s="94" t="s">
        <v>169</v>
      </c>
      <c r="D48" s="94" t="s">
        <v>172</v>
      </c>
      <c r="E48" s="97">
        <v>92701</v>
      </c>
      <c r="F48" s="96">
        <v>3</v>
      </c>
      <c r="G48" s="94" t="s">
        <v>179</v>
      </c>
      <c r="H48" s="94" t="s">
        <v>224</v>
      </c>
    </row>
    <row r="49" spans="1:8" x14ac:dyDescent="0.35">
      <c r="A49" s="94" t="s">
        <v>56</v>
      </c>
      <c r="B49" s="94" t="s">
        <v>164</v>
      </c>
      <c r="C49" s="94" t="s">
        <v>167</v>
      </c>
      <c r="D49" s="94" t="s">
        <v>174</v>
      </c>
      <c r="E49" s="97">
        <v>58245</v>
      </c>
      <c r="F49" s="96">
        <v>4</v>
      </c>
      <c r="G49" s="94"/>
      <c r="H49" s="94" t="s">
        <v>225</v>
      </c>
    </row>
    <row r="50" spans="1:8" x14ac:dyDescent="0.35">
      <c r="A50" s="94" t="s">
        <v>57</v>
      </c>
      <c r="B50" s="94" t="s">
        <v>161</v>
      </c>
      <c r="C50" s="94" t="s">
        <v>166</v>
      </c>
      <c r="D50" s="94"/>
      <c r="E50" s="97">
        <v>66513</v>
      </c>
      <c r="F50" s="96">
        <v>2</v>
      </c>
      <c r="G50" s="94" t="s">
        <v>179</v>
      </c>
      <c r="H50" s="94" t="s">
        <v>187</v>
      </c>
    </row>
    <row r="51" spans="1:8" x14ac:dyDescent="0.35">
      <c r="A51" s="94" t="s">
        <v>58</v>
      </c>
      <c r="B51" s="94" t="s">
        <v>159</v>
      </c>
      <c r="C51" s="94" t="s">
        <v>167</v>
      </c>
      <c r="D51" s="94" t="s">
        <v>172</v>
      </c>
      <c r="E51" s="97">
        <v>78720</v>
      </c>
      <c r="F51" s="96">
        <v>5</v>
      </c>
      <c r="G51" s="94" t="s">
        <v>181</v>
      </c>
      <c r="H51" s="94" t="s">
        <v>219</v>
      </c>
    </row>
    <row r="52" spans="1:8" x14ac:dyDescent="0.35">
      <c r="A52" s="94" t="s">
        <v>59</v>
      </c>
      <c r="B52" s="94" t="s">
        <v>164</v>
      </c>
      <c r="C52" s="94"/>
      <c r="D52" s="94" t="s">
        <v>171</v>
      </c>
      <c r="E52" s="97">
        <v>30686</v>
      </c>
      <c r="F52" s="96">
        <v>2</v>
      </c>
      <c r="G52" s="94" t="s">
        <v>181</v>
      </c>
      <c r="H52" s="94" t="s">
        <v>226</v>
      </c>
    </row>
    <row r="53" spans="1:8" x14ac:dyDescent="0.35">
      <c r="A53" s="94" t="s">
        <v>60</v>
      </c>
      <c r="B53" s="94" t="s">
        <v>163</v>
      </c>
      <c r="C53" s="94" t="s">
        <v>168</v>
      </c>
      <c r="D53" s="94" t="s">
        <v>174</v>
      </c>
      <c r="E53" s="97">
        <v>39423</v>
      </c>
      <c r="F53" s="96">
        <v>5</v>
      </c>
      <c r="G53" s="94"/>
      <c r="H53" s="94" t="s">
        <v>227</v>
      </c>
    </row>
    <row r="54" spans="1:8" x14ac:dyDescent="0.35">
      <c r="A54" s="94" t="s">
        <v>61</v>
      </c>
      <c r="B54" s="94" t="s">
        <v>159</v>
      </c>
      <c r="C54" s="94" t="s">
        <v>170</v>
      </c>
      <c r="D54" s="94"/>
      <c r="E54" s="97">
        <v>30280</v>
      </c>
      <c r="F54" s="96">
        <v>1</v>
      </c>
      <c r="G54" s="94"/>
      <c r="H54" s="94" t="s">
        <v>228</v>
      </c>
    </row>
    <row r="55" spans="1:8" x14ac:dyDescent="0.35">
      <c r="A55" s="94" t="s">
        <v>62</v>
      </c>
      <c r="B55" s="94" t="s">
        <v>159</v>
      </c>
      <c r="C55" s="94" t="s">
        <v>166</v>
      </c>
      <c r="D55" s="94" t="s">
        <v>175</v>
      </c>
      <c r="E55" s="97">
        <v>33352</v>
      </c>
      <c r="F55" s="96">
        <v>3</v>
      </c>
      <c r="G55" s="94" t="s">
        <v>181</v>
      </c>
      <c r="H55" s="94" t="s">
        <v>200</v>
      </c>
    </row>
    <row r="56" spans="1:8" x14ac:dyDescent="0.35">
      <c r="A56" s="94" t="s">
        <v>63</v>
      </c>
      <c r="B56" s="94" t="s">
        <v>165</v>
      </c>
      <c r="C56" s="94" t="s">
        <v>170</v>
      </c>
      <c r="D56" s="94" t="s">
        <v>175</v>
      </c>
      <c r="E56" s="97">
        <v>75633</v>
      </c>
      <c r="F56" s="96">
        <v>5</v>
      </c>
      <c r="G56" s="94" t="s">
        <v>179</v>
      </c>
      <c r="H56" s="94" t="s">
        <v>229</v>
      </c>
    </row>
    <row r="57" spans="1:8" x14ac:dyDescent="0.35">
      <c r="A57" s="94" t="s">
        <v>64</v>
      </c>
      <c r="B57" s="94" t="s">
        <v>164</v>
      </c>
      <c r="C57" s="94"/>
      <c r="D57" s="94" t="s">
        <v>173</v>
      </c>
      <c r="E57" s="97">
        <v>74815</v>
      </c>
      <c r="F57" s="96">
        <v>5</v>
      </c>
      <c r="G57" s="94" t="s">
        <v>181</v>
      </c>
      <c r="H57" s="94" t="s">
        <v>230</v>
      </c>
    </row>
    <row r="58" spans="1:8" x14ac:dyDescent="0.35">
      <c r="A58" s="94" t="s">
        <v>65</v>
      </c>
      <c r="B58" s="94" t="s">
        <v>161</v>
      </c>
      <c r="C58" s="94" t="s">
        <v>168</v>
      </c>
      <c r="D58" s="94" t="s">
        <v>176</v>
      </c>
      <c r="E58" s="97">
        <v>60011</v>
      </c>
      <c r="F58" s="96">
        <v>1</v>
      </c>
      <c r="G58" s="94" t="s">
        <v>180</v>
      </c>
      <c r="H58" s="94" t="s">
        <v>231</v>
      </c>
    </row>
    <row r="59" spans="1:8" x14ac:dyDescent="0.35">
      <c r="A59" s="94" t="s">
        <v>66</v>
      </c>
      <c r="B59" s="94" t="s">
        <v>159</v>
      </c>
      <c r="C59" s="94"/>
      <c r="D59" s="94" t="s">
        <v>174</v>
      </c>
      <c r="E59" s="97">
        <v>96949</v>
      </c>
      <c r="F59" s="96">
        <v>3</v>
      </c>
      <c r="G59" s="94"/>
      <c r="H59" s="94" t="s">
        <v>207</v>
      </c>
    </row>
    <row r="60" spans="1:8" x14ac:dyDescent="0.35">
      <c r="A60" s="94" t="s">
        <v>67</v>
      </c>
      <c r="B60" s="94" t="s">
        <v>163</v>
      </c>
      <c r="C60" s="94" t="s">
        <v>170</v>
      </c>
      <c r="D60" s="94"/>
      <c r="E60" s="97">
        <v>84924</v>
      </c>
      <c r="F60" s="96">
        <v>5</v>
      </c>
      <c r="G60" s="94" t="s">
        <v>180</v>
      </c>
      <c r="H60" s="94" t="s">
        <v>232</v>
      </c>
    </row>
    <row r="61" spans="1:8" x14ac:dyDescent="0.35">
      <c r="A61" s="94" t="s">
        <v>68</v>
      </c>
      <c r="B61" s="94" t="s">
        <v>163</v>
      </c>
      <c r="C61" s="94" t="s">
        <v>166</v>
      </c>
      <c r="D61" s="94" t="s">
        <v>173</v>
      </c>
      <c r="E61" s="97">
        <v>82033</v>
      </c>
      <c r="F61" s="96">
        <v>1</v>
      </c>
      <c r="G61" s="94"/>
      <c r="H61" s="94" t="s">
        <v>223</v>
      </c>
    </row>
    <row r="62" spans="1:8" x14ac:dyDescent="0.35">
      <c r="A62" s="94" t="s">
        <v>69</v>
      </c>
      <c r="B62" s="94"/>
      <c r="C62" s="94" t="s">
        <v>170</v>
      </c>
      <c r="D62" s="94" t="s">
        <v>172</v>
      </c>
      <c r="E62" s="98" t="s">
        <v>177</v>
      </c>
      <c r="F62" s="96">
        <v>5</v>
      </c>
      <c r="G62" s="94" t="s">
        <v>178</v>
      </c>
      <c r="H62" s="94" t="s">
        <v>233</v>
      </c>
    </row>
    <row r="63" spans="1:8" x14ac:dyDescent="0.35">
      <c r="A63" s="94" t="s">
        <v>70</v>
      </c>
      <c r="B63" s="94" t="s">
        <v>159</v>
      </c>
      <c r="C63" s="94"/>
      <c r="D63" s="94" t="s">
        <v>176</v>
      </c>
      <c r="E63" s="97">
        <v>31499</v>
      </c>
      <c r="F63" s="96">
        <v>2</v>
      </c>
      <c r="G63" s="94"/>
      <c r="H63" s="94" t="s">
        <v>215</v>
      </c>
    </row>
    <row r="64" spans="1:8" x14ac:dyDescent="0.35">
      <c r="A64" s="94" t="s">
        <v>71</v>
      </c>
      <c r="B64" s="94" t="s">
        <v>164</v>
      </c>
      <c r="C64" s="94" t="s">
        <v>169</v>
      </c>
      <c r="D64" s="94" t="s">
        <v>175</v>
      </c>
      <c r="E64" s="97">
        <v>97981</v>
      </c>
      <c r="F64" s="96">
        <v>5</v>
      </c>
      <c r="G64" s="94" t="s">
        <v>181</v>
      </c>
      <c r="H64" s="94" t="s">
        <v>234</v>
      </c>
    </row>
    <row r="65" spans="1:8" x14ac:dyDescent="0.35">
      <c r="A65" s="94" t="s">
        <v>72</v>
      </c>
      <c r="B65" s="94" t="s">
        <v>159</v>
      </c>
      <c r="C65" s="94" t="s">
        <v>167</v>
      </c>
      <c r="D65" s="94" t="s">
        <v>173</v>
      </c>
      <c r="E65" s="97">
        <v>36541</v>
      </c>
      <c r="F65" s="96">
        <v>2</v>
      </c>
      <c r="G65" s="94" t="s">
        <v>179</v>
      </c>
      <c r="H65" s="94" t="s">
        <v>235</v>
      </c>
    </row>
    <row r="66" spans="1:8" x14ac:dyDescent="0.35">
      <c r="A66" s="94" t="s">
        <v>73</v>
      </c>
      <c r="B66" s="94" t="s">
        <v>161</v>
      </c>
      <c r="C66" s="94" t="s">
        <v>169</v>
      </c>
      <c r="D66" s="94" t="s">
        <v>174</v>
      </c>
      <c r="E66" s="97">
        <v>84737</v>
      </c>
      <c r="F66" s="96">
        <v>1</v>
      </c>
      <c r="G66" s="94" t="s">
        <v>180</v>
      </c>
      <c r="H66" s="94" t="s">
        <v>236</v>
      </c>
    </row>
    <row r="67" spans="1:8" x14ac:dyDescent="0.35">
      <c r="A67" s="94" t="s">
        <v>74</v>
      </c>
      <c r="B67" s="94" t="s">
        <v>163</v>
      </c>
      <c r="C67" s="94" t="s">
        <v>166</v>
      </c>
      <c r="D67" s="94" t="s">
        <v>174</v>
      </c>
      <c r="E67" s="97">
        <v>33468</v>
      </c>
      <c r="F67" s="96">
        <v>4</v>
      </c>
      <c r="G67" s="94" t="s">
        <v>180</v>
      </c>
      <c r="H67" s="94" t="s">
        <v>237</v>
      </c>
    </row>
    <row r="68" spans="1:8" x14ac:dyDescent="0.35">
      <c r="A68" s="94" t="s">
        <v>75</v>
      </c>
      <c r="B68" s="94" t="s">
        <v>163</v>
      </c>
      <c r="C68" s="94"/>
      <c r="D68" s="94" t="s">
        <v>176</v>
      </c>
      <c r="E68" s="97">
        <v>96365</v>
      </c>
      <c r="F68" s="96">
        <v>3</v>
      </c>
      <c r="G68" s="94" t="s">
        <v>179</v>
      </c>
      <c r="H68" s="94" t="s">
        <v>238</v>
      </c>
    </row>
    <row r="69" spans="1:8" x14ac:dyDescent="0.35">
      <c r="A69" s="94" t="s">
        <v>76</v>
      </c>
      <c r="B69" s="94" t="s">
        <v>160</v>
      </c>
      <c r="C69" s="94" t="s">
        <v>168</v>
      </c>
      <c r="D69" s="94" t="s">
        <v>174</v>
      </c>
      <c r="E69" s="97">
        <v>61942</v>
      </c>
      <c r="F69" s="96">
        <v>3</v>
      </c>
      <c r="G69" s="94" t="s">
        <v>181</v>
      </c>
      <c r="H69" s="94" t="s">
        <v>239</v>
      </c>
    </row>
    <row r="70" spans="1:8" x14ac:dyDescent="0.35">
      <c r="A70" s="94" t="s">
        <v>77</v>
      </c>
      <c r="B70" s="94" t="s">
        <v>163</v>
      </c>
      <c r="C70" s="94" t="s">
        <v>166</v>
      </c>
      <c r="D70" s="94" t="s">
        <v>175</v>
      </c>
      <c r="E70" s="97">
        <v>41467</v>
      </c>
      <c r="F70" s="96">
        <v>2</v>
      </c>
      <c r="G70" s="94"/>
      <c r="H70" s="94" t="s">
        <v>201</v>
      </c>
    </row>
    <row r="71" spans="1:8" x14ac:dyDescent="0.35">
      <c r="A71" s="94" t="s">
        <v>78</v>
      </c>
      <c r="B71" s="94" t="s">
        <v>165</v>
      </c>
      <c r="C71" s="94" t="s">
        <v>166</v>
      </c>
      <c r="D71" s="94" t="s">
        <v>174</v>
      </c>
      <c r="E71" s="97">
        <v>77096</v>
      </c>
      <c r="F71" s="96">
        <v>1</v>
      </c>
      <c r="G71" s="94"/>
      <c r="H71" s="94" t="s">
        <v>240</v>
      </c>
    </row>
    <row r="72" spans="1:8" x14ac:dyDescent="0.35">
      <c r="A72" s="94" t="s">
        <v>79</v>
      </c>
      <c r="B72" s="94" t="s">
        <v>159</v>
      </c>
      <c r="C72" s="94" t="s">
        <v>168</v>
      </c>
      <c r="D72" s="94" t="s">
        <v>176</v>
      </c>
      <c r="E72" s="97">
        <v>69952</v>
      </c>
      <c r="F72" s="96">
        <v>5</v>
      </c>
      <c r="G72" s="94" t="s">
        <v>181</v>
      </c>
      <c r="H72" s="94" t="s">
        <v>182</v>
      </c>
    </row>
    <row r="73" spans="1:8" x14ac:dyDescent="0.35">
      <c r="A73" s="94" t="s">
        <v>80</v>
      </c>
      <c r="B73" s="94" t="s">
        <v>159</v>
      </c>
      <c r="C73" s="94" t="s">
        <v>170</v>
      </c>
      <c r="D73" s="94" t="s">
        <v>173</v>
      </c>
      <c r="E73" s="97">
        <v>85065</v>
      </c>
      <c r="F73" s="96">
        <v>3</v>
      </c>
      <c r="G73" s="94"/>
      <c r="H73" s="94" t="s">
        <v>241</v>
      </c>
    </row>
    <row r="74" spans="1:8" x14ac:dyDescent="0.35">
      <c r="A74" s="94" t="s">
        <v>81</v>
      </c>
      <c r="B74" s="94" t="s">
        <v>165</v>
      </c>
      <c r="C74" s="94" t="s">
        <v>170</v>
      </c>
      <c r="D74" s="94" t="s">
        <v>174</v>
      </c>
      <c r="E74" s="97">
        <v>56512</v>
      </c>
      <c r="F74" s="96"/>
      <c r="G74" s="94" t="s">
        <v>179</v>
      </c>
      <c r="H74" s="94" t="s">
        <v>190</v>
      </c>
    </row>
    <row r="75" spans="1:8" x14ac:dyDescent="0.35">
      <c r="A75" s="94" t="s">
        <v>82</v>
      </c>
      <c r="B75" s="94" t="s">
        <v>161</v>
      </c>
      <c r="C75" s="94" t="s">
        <v>168</v>
      </c>
      <c r="D75" s="94" t="s">
        <v>174</v>
      </c>
      <c r="E75" s="97">
        <v>91101</v>
      </c>
      <c r="F75" s="96">
        <v>4</v>
      </c>
      <c r="G75" s="94" t="s">
        <v>181</v>
      </c>
      <c r="H75" s="94" t="s">
        <v>234</v>
      </c>
    </row>
    <row r="76" spans="1:8" x14ac:dyDescent="0.35">
      <c r="A76" s="94" t="s">
        <v>83</v>
      </c>
      <c r="B76" s="94" t="s">
        <v>163</v>
      </c>
      <c r="C76" s="94"/>
      <c r="D76" s="94" t="s">
        <v>172</v>
      </c>
      <c r="E76" s="97">
        <v>41243</v>
      </c>
      <c r="F76" s="96"/>
      <c r="G76" s="94"/>
      <c r="H76" s="94" t="s">
        <v>211</v>
      </c>
    </row>
    <row r="77" spans="1:8" x14ac:dyDescent="0.35">
      <c r="A77" s="94" t="s">
        <v>84</v>
      </c>
      <c r="B77" s="94"/>
      <c r="C77" s="94" t="s">
        <v>168</v>
      </c>
      <c r="D77" s="94" t="s">
        <v>171</v>
      </c>
      <c r="E77" s="97">
        <v>96142</v>
      </c>
      <c r="F77" s="96">
        <v>1</v>
      </c>
      <c r="G77" s="94" t="s">
        <v>179</v>
      </c>
      <c r="H77" s="94" t="s">
        <v>242</v>
      </c>
    </row>
    <row r="78" spans="1:8" x14ac:dyDescent="0.35">
      <c r="A78" s="94" t="s">
        <v>85</v>
      </c>
      <c r="B78" s="94" t="s">
        <v>159</v>
      </c>
      <c r="C78" s="94" t="s">
        <v>169</v>
      </c>
      <c r="D78" s="94" t="s">
        <v>174</v>
      </c>
      <c r="E78" s="97">
        <v>94301</v>
      </c>
      <c r="F78" s="96">
        <v>1</v>
      </c>
      <c r="G78" s="94" t="s">
        <v>180</v>
      </c>
      <c r="H78" s="94" t="s">
        <v>223</v>
      </c>
    </row>
    <row r="79" spans="1:8" x14ac:dyDescent="0.35">
      <c r="A79" s="94" t="s">
        <v>86</v>
      </c>
      <c r="B79" s="94" t="s">
        <v>162</v>
      </c>
      <c r="C79" s="94"/>
      <c r="D79" s="94" t="s">
        <v>175</v>
      </c>
      <c r="E79" s="97">
        <v>69166</v>
      </c>
      <c r="F79" s="96">
        <v>1</v>
      </c>
      <c r="G79" s="94" t="s">
        <v>181</v>
      </c>
      <c r="H79" s="94" t="s">
        <v>243</v>
      </c>
    </row>
    <row r="80" spans="1:8" x14ac:dyDescent="0.35">
      <c r="A80" s="94" t="s">
        <v>87</v>
      </c>
      <c r="B80" s="94" t="s">
        <v>163</v>
      </c>
      <c r="C80" s="94"/>
      <c r="D80" s="94" t="s">
        <v>175</v>
      </c>
      <c r="E80" s="97">
        <v>78245</v>
      </c>
      <c r="F80" s="96">
        <v>2</v>
      </c>
      <c r="G80" s="94"/>
      <c r="H80" s="94" t="s">
        <v>244</v>
      </c>
    </row>
    <row r="81" spans="1:8" x14ac:dyDescent="0.35">
      <c r="A81" s="94" t="s">
        <v>88</v>
      </c>
      <c r="B81" s="94" t="s">
        <v>164</v>
      </c>
      <c r="C81" s="94" t="s">
        <v>168</v>
      </c>
      <c r="D81" s="94" t="s">
        <v>173</v>
      </c>
      <c r="E81" s="97">
        <v>66079</v>
      </c>
      <c r="F81" s="96">
        <v>2</v>
      </c>
      <c r="G81" s="94" t="s">
        <v>179</v>
      </c>
      <c r="H81" s="94" t="s">
        <v>245</v>
      </c>
    </row>
    <row r="82" spans="1:8" x14ac:dyDescent="0.35">
      <c r="A82" s="94" t="s">
        <v>89</v>
      </c>
      <c r="B82" s="94" t="s">
        <v>159</v>
      </c>
      <c r="C82" s="94" t="s">
        <v>170</v>
      </c>
      <c r="D82" s="94" t="s">
        <v>174</v>
      </c>
      <c r="E82" s="98" t="s">
        <v>177</v>
      </c>
      <c r="F82" s="96"/>
      <c r="G82" s="94"/>
      <c r="H82" s="94" t="s">
        <v>208</v>
      </c>
    </row>
    <row r="83" spans="1:8" x14ac:dyDescent="0.35">
      <c r="A83" s="94" t="s">
        <v>90</v>
      </c>
      <c r="B83" s="94" t="s">
        <v>162</v>
      </c>
      <c r="C83" s="94" t="s">
        <v>168</v>
      </c>
      <c r="D83" s="94" t="s">
        <v>173</v>
      </c>
      <c r="E83" s="97">
        <v>95621</v>
      </c>
      <c r="F83" s="96">
        <v>3</v>
      </c>
      <c r="G83" s="94" t="s">
        <v>181</v>
      </c>
      <c r="H83" s="94" t="s">
        <v>246</v>
      </c>
    </row>
    <row r="84" spans="1:8" x14ac:dyDescent="0.35">
      <c r="A84" s="94" t="s">
        <v>91</v>
      </c>
      <c r="B84" s="94" t="s">
        <v>159</v>
      </c>
      <c r="C84" s="94" t="s">
        <v>169</v>
      </c>
      <c r="D84" s="94" t="s">
        <v>175</v>
      </c>
      <c r="E84" s="97">
        <v>42262</v>
      </c>
      <c r="F84" s="96">
        <v>1</v>
      </c>
      <c r="G84" s="94"/>
      <c r="H84" s="94" t="s">
        <v>247</v>
      </c>
    </row>
    <row r="85" spans="1:8" x14ac:dyDescent="0.35">
      <c r="A85" s="94" t="s">
        <v>92</v>
      </c>
      <c r="B85" s="94" t="s">
        <v>163</v>
      </c>
      <c r="C85" s="94" t="s">
        <v>168</v>
      </c>
      <c r="D85" s="94" t="s">
        <v>174</v>
      </c>
      <c r="E85" s="97">
        <v>99621</v>
      </c>
      <c r="F85" s="96"/>
      <c r="G85" s="94" t="s">
        <v>179</v>
      </c>
      <c r="H85" s="94" t="s">
        <v>248</v>
      </c>
    </row>
    <row r="86" spans="1:8" x14ac:dyDescent="0.35">
      <c r="A86" s="94" t="s">
        <v>93</v>
      </c>
      <c r="B86" s="94" t="s">
        <v>161</v>
      </c>
      <c r="C86" s="94" t="s">
        <v>170</v>
      </c>
      <c r="D86" s="94" t="s">
        <v>174</v>
      </c>
      <c r="E86" s="97">
        <v>44682</v>
      </c>
      <c r="F86" s="96">
        <v>4</v>
      </c>
      <c r="G86" s="94" t="s">
        <v>181</v>
      </c>
      <c r="H86" s="94" t="s">
        <v>220</v>
      </c>
    </row>
    <row r="87" spans="1:8" x14ac:dyDescent="0.35">
      <c r="A87" s="94" t="s">
        <v>94</v>
      </c>
      <c r="B87" s="94" t="s">
        <v>164</v>
      </c>
      <c r="C87" s="94" t="s">
        <v>166</v>
      </c>
      <c r="D87" s="94"/>
      <c r="E87" s="97">
        <v>35163</v>
      </c>
      <c r="F87" s="96">
        <v>5</v>
      </c>
      <c r="G87" s="94" t="s">
        <v>179</v>
      </c>
      <c r="H87" s="94" t="s">
        <v>249</v>
      </c>
    </row>
    <row r="88" spans="1:8" x14ac:dyDescent="0.35">
      <c r="A88" s="94" t="s">
        <v>95</v>
      </c>
      <c r="B88" s="94" t="s">
        <v>164</v>
      </c>
      <c r="C88" s="94" t="s">
        <v>169</v>
      </c>
      <c r="D88" s="94" t="s">
        <v>174</v>
      </c>
      <c r="E88" s="97">
        <v>33483</v>
      </c>
      <c r="F88" s="96">
        <v>4</v>
      </c>
      <c r="G88" s="94" t="s">
        <v>180</v>
      </c>
      <c r="H88" s="94" t="s">
        <v>250</v>
      </c>
    </row>
    <row r="89" spans="1:8" x14ac:dyDescent="0.35">
      <c r="A89" s="94" t="s">
        <v>96</v>
      </c>
      <c r="B89" s="94" t="s">
        <v>163</v>
      </c>
      <c r="C89" s="94" t="s">
        <v>167</v>
      </c>
      <c r="D89" s="94" t="s">
        <v>172</v>
      </c>
      <c r="E89" s="97">
        <v>55303</v>
      </c>
      <c r="F89" s="96">
        <v>4</v>
      </c>
      <c r="G89" s="94" t="s">
        <v>180</v>
      </c>
      <c r="H89" s="94" t="s">
        <v>203</v>
      </c>
    </row>
    <row r="90" spans="1:8" x14ac:dyDescent="0.35">
      <c r="A90" s="94" t="s">
        <v>97</v>
      </c>
      <c r="B90" s="94" t="s">
        <v>164</v>
      </c>
      <c r="C90" s="94" t="s">
        <v>169</v>
      </c>
      <c r="D90" s="94"/>
      <c r="E90" s="97">
        <v>63434</v>
      </c>
      <c r="F90" s="96">
        <v>3</v>
      </c>
      <c r="G90" s="94"/>
      <c r="H90" s="94" t="s">
        <v>251</v>
      </c>
    </row>
    <row r="91" spans="1:8" x14ac:dyDescent="0.35">
      <c r="A91" s="94" t="s">
        <v>98</v>
      </c>
      <c r="B91" s="94" t="s">
        <v>162</v>
      </c>
      <c r="C91" s="94"/>
      <c r="D91" s="94" t="s">
        <v>176</v>
      </c>
      <c r="E91" s="97"/>
      <c r="F91" s="96">
        <v>3</v>
      </c>
      <c r="G91" s="94" t="s">
        <v>179</v>
      </c>
      <c r="H91" s="94" t="s">
        <v>203</v>
      </c>
    </row>
    <row r="92" spans="1:8" x14ac:dyDescent="0.35">
      <c r="A92" s="94" t="s">
        <v>99</v>
      </c>
      <c r="B92" s="94"/>
      <c r="C92" s="94" t="s">
        <v>170</v>
      </c>
      <c r="D92" s="94" t="s">
        <v>175</v>
      </c>
      <c r="E92" s="97">
        <v>50741</v>
      </c>
      <c r="F92" s="96">
        <v>3</v>
      </c>
      <c r="G92" s="94" t="s">
        <v>178</v>
      </c>
      <c r="H92" s="94" t="s">
        <v>240</v>
      </c>
    </row>
    <row r="93" spans="1:8" x14ac:dyDescent="0.35">
      <c r="A93" s="94" t="s">
        <v>100</v>
      </c>
      <c r="B93" s="94" t="s">
        <v>160</v>
      </c>
      <c r="C93" s="94" t="s">
        <v>167</v>
      </c>
      <c r="D93" s="94" t="s">
        <v>176</v>
      </c>
      <c r="E93" s="97">
        <v>69420</v>
      </c>
      <c r="F93" s="96">
        <v>1</v>
      </c>
      <c r="G93" s="94" t="s">
        <v>180</v>
      </c>
      <c r="H93" s="94" t="s">
        <v>225</v>
      </c>
    </row>
    <row r="94" spans="1:8" x14ac:dyDescent="0.35">
      <c r="A94" s="94" t="s">
        <v>101</v>
      </c>
      <c r="B94" s="94" t="s">
        <v>162</v>
      </c>
      <c r="C94" s="94" t="s">
        <v>169</v>
      </c>
      <c r="D94" s="94"/>
      <c r="E94" s="97">
        <v>80588</v>
      </c>
      <c r="F94" s="96">
        <v>5</v>
      </c>
      <c r="G94" s="94" t="s">
        <v>180</v>
      </c>
      <c r="H94" s="94" t="s">
        <v>216</v>
      </c>
    </row>
    <row r="95" spans="1:8" x14ac:dyDescent="0.35">
      <c r="A95" s="94" t="s">
        <v>102</v>
      </c>
      <c r="B95" s="94" t="s">
        <v>160</v>
      </c>
      <c r="C95" s="94"/>
      <c r="D95" s="94" t="s">
        <v>173</v>
      </c>
      <c r="E95" s="97">
        <v>76238</v>
      </c>
      <c r="F95" s="96">
        <v>4</v>
      </c>
      <c r="G95" s="94" t="s">
        <v>180</v>
      </c>
      <c r="H95" s="94" t="s">
        <v>252</v>
      </c>
    </row>
    <row r="96" spans="1:8" x14ac:dyDescent="0.35">
      <c r="A96" s="94" t="s">
        <v>103</v>
      </c>
      <c r="B96" s="94" t="s">
        <v>165</v>
      </c>
      <c r="C96" s="94" t="s">
        <v>169</v>
      </c>
      <c r="D96" s="94" t="s">
        <v>174</v>
      </c>
      <c r="E96" s="97">
        <v>33264</v>
      </c>
      <c r="F96" s="96"/>
      <c r="G96" s="94" t="s">
        <v>181</v>
      </c>
      <c r="H96" s="94" t="s">
        <v>253</v>
      </c>
    </row>
    <row r="97" spans="1:8" x14ac:dyDescent="0.35">
      <c r="A97" s="94" t="s">
        <v>104</v>
      </c>
      <c r="B97" s="94" t="s">
        <v>160</v>
      </c>
      <c r="C97" s="94" t="s">
        <v>166</v>
      </c>
      <c r="D97" s="94" t="s">
        <v>176</v>
      </c>
      <c r="E97" s="97">
        <v>96101</v>
      </c>
      <c r="F97" s="96"/>
      <c r="G97" s="94" t="s">
        <v>179</v>
      </c>
      <c r="H97" s="94" t="s">
        <v>254</v>
      </c>
    </row>
    <row r="98" spans="1:8" x14ac:dyDescent="0.35">
      <c r="A98" s="94" t="s">
        <v>105</v>
      </c>
      <c r="B98" s="94" t="s">
        <v>162</v>
      </c>
      <c r="C98" s="94" t="s">
        <v>166</v>
      </c>
      <c r="D98" s="94" t="s">
        <v>173</v>
      </c>
      <c r="E98" s="97">
        <v>72939</v>
      </c>
      <c r="F98" s="96">
        <v>3</v>
      </c>
      <c r="G98" s="94"/>
      <c r="H98" s="94" t="s">
        <v>255</v>
      </c>
    </row>
    <row r="99" spans="1:8" x14ac:dyDescent="0.35">
      <c r="A99" s="94" t="s">
        <v>106</v>
      </c>
      <c r="B99" s="94" t="s">
        <v>163</v>
      </c>
      <c r="C99" s="94" t="s">
        <v>167</v>
      </c>
      <c r="D99" s="94" t="s">
        <v>172</v>
      </c>
      <c r="E99" s="97">
        <v>89333</v>
      </c>
      <c r="F99" s="96">
        <v>1</v>
      </c>
      <c r="G99" s="94" t="s">
        <v>180</v>
      </c>
      <c r="H99" s="94" t="s">
        <v>256</v>
      </c>
    </row>
    <row r="100" spans="1:8" x14ac:dyDescent="0.35">
      <c r="A100" s="94" t="s">
        <v>107</v>
      </c>
      <c r="B100" s="94" t="s">
        <v>165</v>
      </c>
      <c r="C100" s="94" t="s">
        <v>169</v>
      </c>
      <c r="D100" s="94" t="s">
        <v>176</v>
      </c>
      <c r="E100" s="97">
        <v>70470</v>
      </c>
      <c r="F100" s="96"/>
      <c r="G100" s="94" t="s">
        <v>180</v>
      </c>
      <c r="H100" s="94" t="s">
        <v>257</v>
      </c>
    </row>
    <row r="101" spans="1:8" x14ac:dyDescent="0.35">
      <c r="A101" s="94" t="s">
        <v>108</v>
      </c>
      <c r="B101" s="94" t="s">
        <v>159</v>
      </c>
      <c r="C101" s="94" t="s">
        <v>170</v>
      </c>
      <c r="D101" s="94" t="s">
        <v>173</v>
      </c>
      <c r="E101" s="97">
        <v>70096</v>
      </c>
      <c r="F101" s="96">
        <v>4</v>
      </c>
      <c r="G101" s="94" t="s">
        <v>180</v>
      </c>
      <c r="H101" s="94" t="s">
        <v>258</v>
      </c>
    </row>
    <row r="102" spans="1:8" x14ac:dyDescent="0.35">
      <c r="A102" s="94" t="s">
        <v>109</v>
      </c>
      <c r="B102" s="94" t="s">
        <v>165</v>
      </c>
      <c r="C102" s="94" t="s">
        <v>170</v>
      </c>
      <c r="D102" s="94" t="s">
        <v>171</v>
      </c>
      <c r="E102" s="98" t="s">
        <v>177</v>
      </c>
      <c r="F102" s="96">
        <v>2</v>
      </c>
      <c r="G102" s="94" t="s">
        <v>179</v>
      </c>
      <c r="H102" s="94" t="s">
        <v>259</v>
      </c>
    </row>
    <row r="103" spans="1:8" x14ac:dyDescent="0.35">
      <c r="A103" s="94" t="s">
        <v>110</v>
      </c>
      <c r="B103" s="94" t="s">
        <v>165</v>
      </c>
      <c r="C103" s="94" t="s">
        <v>169</v>
      </c>
      <c r="D103" s="94" t="s">
        <v>172</v>
      </c>
      <c r="E103" s="97">
        <v>66503</v>
      </c>
      <c r="F103" s="96"/>
      <c r="G103" s="94" t="s">
        <v>180</v>
      </c>
      <c r="H103" s="94" t="s">
        <v>200</v>
      </c>
    </row>
    <row r="104" spans="1:8" x14ac:dyDescent="0.35">
      <c r="A104" s="94" t="s">
        <v>111</v>
      </c>
      <c r="B104" s="94" t="s">
        <v>160</v>
      </c>
      <c r="C104" s="94" t="s">
        <v>167</v>
      </c>
      <c r="D104" s="94" t="s">
        <v>172</v>
      </c>
      <c r="E104" s="97">
        <v>42096</v>
      </c>
      <c r="F104" s="96"/>
      <c r="G104" s="94" t="s">
        <v>181</v>
      </c>
      <c r="H104" s="94" t="s">
        <v>260</v>
      </c>
    </row>
    <row r="105" spans="1:8" x14ac:dyDescent="0.35">
      <c r="A105" s="94" t="s">
        <v>112</v>
      </c>
      <c r="B105" s="94" t="s">
        <v>160</v>
      </c>
      <c r="C105" s="94" t="s">
        <v>170</v>
      </c>
      <c r="D105" s="94"/>
      <c r="E105" s="97">
        <v>79145</v>
      </c>
      <c r="F105" s="96">
        <v>5</v>
      </c>
      <c r="G105" s="94" t="s">
        <v>179</v>
      </c>
      <c r="H105" s="94" t="s">
        <v>223</v>
      </c>
    </row>
    <row r="106" spans="1:8" x14ac:dyDescent="0.35">
      <c r="A106" s="94" t="s">
        <v>113</v>
      </c>
      <c r="B106" s="94" t="s">
        <v>162</v>
      </c>
      <c r="C106" s="94"/>
      <c r="D106" s="94" t="s">
        <v>176</v>
      </c>
      <c r="E106" s="97">
        <v>61556</v>
      </c>
      <c r="F106" s="96">
        <v>1</v>
      </c>
      <c r="G106" s="94"/>
      <c r="H106" s="94" t="s">
        <v>259</v>
      </c>
    </row>
    <row r="107" spans="1:8" x14ac:dyDescent="0.35">
      <c r="A107" s="94" t="s">
        <v>114</v>
      </c>
      <c r="B107" s="94"/>
      <c r="C107" s="94" t="s">
        <v>167</v>
      </c>
      <c r="D107" s="94" t="s">
        <v>175</v>
      </c>
      <c r="E107" s="97">
        <v>87963</v>
      </c>
      <c r="F107" s="96">
        <v>3</v>
      </c>
      <c r="G107" s="94" t="s">
        <v>179</v>
      </c>
      <c r="H107" s="94" t="s">
        <v>182</v>
      </c>
    </row>
    <row r="108" spans="1:8" x14ac:dyDescent="0.35">
      <c r="A108" s="94" t="s">
        <v>115</v>
      </c>
      <c r="B108" s="94" t="s">
        <v>159</v>
      </c>
      <c r="C108" s="94" t="s">
        <v>169</v>
      </c>
      <c r="D108" s="94"/>
      <c r="E108" s="97">
        <v>48325</v>
      </c>
      <c r="F108" s="96"/>
      <c r="G108" s="94" t="s">
        <v>180</v>
      </c>
      <c r="H108" s="94" t="s">
        <v>261</v>
      </c>
    </row>
    <row r="109" spans="1:8" x14ac:dyDescent="0.35">
      <c r="A109" s="94" t="s">
        <v>116</v>
      </c>
      <c r="B109" s="94" t="s">
        <v>163</v>
      </c>
      <c r="C109" s="94" t="s">
        <v>170</v>
      </c>
      <c r="D109" s="94" t="s">
        <v>176</v>
      </c>
      <c r="E109" s="97">
        <v>86412</v>
      </c>
      <c r="F109" s="96">
        <v>2</v>
      </c>
      <c r="G109" s="94" t="s">
        <v>181</v>
      </c>
      <c r="H109" s="94" t="s">
        <v>202</v>
      </c>
    </row>
    <row r="110" spans="1:8" x14ac:dyDescent="0.35">
      <c r="A110" s="94" t="s">
        <v>117</v>
      </c>
      <c r="B110" s="94" t="s">
        <v>163</v>
      </c>
      <c r="C110" s="94" t="s">
        <v>167</v>
      </c>
      <c r="D110" s="94"/>
      <c r="E110" s="97">
        <v>66761</v>
      </c>
      <c r="F110" s="96">
        <v>1</v>
      </c>
      <c r="G110" s="94"/>
      <c r="H110" s="94" t="s">
        <v>262</v>
      </c>
    </row>
    <row r="111" spans="1:8" x14ac:dyDescent="0.35">
      <c r="A111" s="94" t="s">
        <v>118</v>
      </c>
      <c r="B111" s="94" t="s">
        <v>162</v>
      </c>
      <c r="C111" s="94"/>
      <c r="D111" s="94" t="s">
        <v>174</v>
      </c>
      <c r="E111" s="97">
        <v>88850</v>
      </c>
      <c r="F111" s="96">
        <v>1</v>
      </c>
      <c r="G111" s="94" t="s">
        <v>181</v>
      </c>
      <c r="H111" s="94" t="s">
        <v>263</v>
      </c>
    </row>
    <row r="112" spans="1:8" x14ac:dyDescent="0.35">
      <c r="A112" s="94" t="s">
        <v>119</v>
      </c>
      <c r="B112" s="94" t="s">
        <v>164</v>
      </c>
      <c r="C112" s="94" t="s">
        <v>168</v>
      </c>
      <c r="D112" s="94" t="s">
        <v>174</v>
      </c>
      <c r="E112" s="97">
        <v>31293</v>
      </c>
      <c r="F112" s="96">
        <v>2</v>
      </c>
      <c r="G112" s="94" t="s">
        <v>181</v>
      </c>
      <c r="H112" s="94" t="s">
        <v>264</v>
      </c>
    </row>
    <row r="113" spans="1:8" x14ac:dyDescent="0.35">
      <c r="A113" s="94" t="s">
        <v>120</v>
      </c>
      <c r="B113" s="94" t="s">
        <v>164</v>
      </c>
      <c r="C113" s="94" t="s">
        <v>169</v>
      </c>
      <c r="D113" s="94" t="s">
        <v>173</v>
      </c>
      <c r="E113" s="97">
        <v>34306</v>
      </c>
      <c r="F113" s="96">
        <v>5</v>
      </c>
      <c r="G113" s="94" t="s">
        <v>181</v>
      </c>
      <c r="H113" s="94" t="s">
        <v>239</v>
      </c>
    </row>
    <row r="114" spans="1:8" x14ac:dyDescent="0.35">
      <c r="A114" s="94" t="s">
        <v>121</v>
      </c>
      <c r="B114" s="94" t="s">
        <v>159</v>
      </c>
      <c r="C114" s="94" t="s">
        <v>166</v>
      </c>
      <c r="D114" s="94" t="s">
        <v>174</v>
      </c>
      <c r="E114" s="97">
        <v>78330</v>
      </c>
      <c r="F114" s="96"/>
      <c r="G114" s="94" t="s">
        <v>179</v>
      </c>
      <c r="H114" s="94" t="s">
        <v>258</v>
      </c>
    </row>
    <row r="115" spans="1:8" x14ac:dyDescent="0.35">
      <c r="A115" s="94" t="s">
        <v>122</v>
      </c>
      <c r="B115" s="94" t="s">
        <v>160</v>
      </c>
      <c r="C115" s="94" t="s">
        <v>169</v>
      </c>
      <c r="D115" s="94" t="s">
        <v>173</v>
      </c>
      <c r="E115" s="97">
        <v>47653</v>
      </c>
      <c r="F115" s="96">
        <v>1</v>
      </c>
      <c r="G115" s="94" t="s">
        <v>180</v>
      </c>
      <c r="H115" s="94" t="s">
        <v>265</v>
      </c>
    </row>
    <row r="116" spans="1:8" x14ac:dyDescent="0.35">
      <c r="A116" s="94" t="s">
        <v>123</v>
      </c>
      <c r="B116" s="94" t="s">
        <v>159</v>
      </c>
      <c r="C116" s="94" t="s">
        <v>170</v>
      </c>
      <c r="D116" s="94" t="s">
        <v>175</v>
      </c>
      <c r="E116" s="97">
        <v>44627</v>
      </c>
      <c r="F116" s="96">
        <v>4</v>
      </c>
      <c r="G116" s="94"/>
      <c r="H116" s="94" t="s">
        <v>235</v>
      </c>
    </row>
    <row r="117" spans="1:8" x14ac:dyDescent="0.35">
      <c r="A117" s="94" t="s">
        <v>124</v>
      </c>
      <c r="B117" s="94" t="s">
        <v>165</v>
      </c>
      <c r="C117" s="94" t="s">
        <v>167</v>
      </c>
      <c r="D117" s="94" t="s">
        <v>172</v>
      </c>
      <c r="E117" s="97">
        <v>92343</v>
      </c>
      <c r="F117" s="96">
        <v>4</v>
      </c>
      <c r="G117" s="94" t="s">
        <v>181</v>
      </c>
      <c r="H117" s="94" t="s">
        <v>203</v>
      </c>
    </row>
    <row r="118" spans="1:8" x14ac:dyDescent="0.35">
      <c r="A118" s="94" t="s">
        <v>125</v>
      </c>
      <c r="B118" s="94" t="s">
        <v>165</v>
      </c>
      <c r="C118" s="94" t="s">
        <v>170</v>
      </c>
      <c r="D118" s="94" t="s">
        <v>176</v>
      </c>
      <c r="E118" s="97">
        <v>38837</v>
      </c>
      <c r="F118" s="96">
        <v>5</v>
      </c>
      <c r="G118" s="94" t="s">
        <v>181</v>
      </c>
      <c r="H118" s="94" t="s">
        <v>239</v>
      </c>
    </row>
    <row r="119" spans="1:8" x14ac:dyDescent="0.35">
      <c r="A119" s="94" t="s">
        <v>126</v>
      </c>
      <c r="B119" s="94" t="s">
        <v>165</v>
      </c>
      <c r="C119" s="94" t="s">
        <v>170</v>
      </c>
      <c r="D119" s="94"/>
      <c r="E119" s="97">
        <v>73483</v>
      </c>
      <c r="F119" s="96">
        <v>1</v>
      </c>
      <c r="G119" s="94"/>
      <c r="H119" s="94" t="s">
        <v>266</v>
      </c>
    </row>
    <row r="120" spans="1:8" x14ac:dyDescent="0.35">
      <c r="A120" s="94" t="s">
        <v>127</v>
      </c>
      <c r="B120" s="94" t="s">
        <v>164</v>
      </c>
      <c r="C120" s="94" t="s">
        <v>168</v>
      </c>
      <c r="D120" s="94" t="s">
        <v>174</v>
      </c>
      <c r="E120" s="97">
        <v>95032</v>
      </c>
      <c r="F120" s="96">
        <v>3</v>
      </c>
      <c r="G120" s="94"/>
      <c r="H120" s="94" t="s">
        <v>267</v>
      </c>
    </row>
    <row r="121" spans="1:8" x14ac:dyDescent="0.35">
      <c r="A121" s="94" t="s">
        <v>128</v>
      </c>
      <c r="B121" s="94" t="s">
        <v>159</v>
      </c>
      <c r="C121" s="94" t="s">
        <v>168</v>
      </c>
      <c r="D121" s="94" t="s">
        <v>176</v>
      </c>
      <c r="E121" s="97">
        <v>44358</v>
      </c>
      <c r="F121" s="96"/>
      <c r="G121" s="94" t="s">
        <v>181</v>
      </c>
      <c r="H121" s="94" t="s">
        <v>200</v>
      </c>
    </row>
    <row r="122" spans="1:8" x14ac:dyDescent="0.35">
      <c r="A122" s="94" t="s">
        <v>129</v>
      </c>
      <c r="B122" s="94"/>
      <c r="C122" s="94" t="s">
        <v>169</v>
      </c>
      <c r="D122" s="94" t="s">
        <v>173</v>
      </c>
      <c r="E122" s="98" t="s">
        <v>177</v>
      </c>
      <c r="F122" s="96">
        <v>5</v>
      </c>
      <c r="G122" s="94" t="s">
        <v>178</v>
      </c>
      <c r="H122" s="94" t="s">
        <v>268</v>
      </c>
    </row>
    <row r="123" spans="1:8" x14ac:dyDescent="0.35">
      <c r="A123" s="94" t="s">
        <v>130</v>
      </c>
      <c r="B123" s="94" t="s">
        <v>164</v>
      </c>
      <c r="C123" s="94" t="s">
        <v>168</v>
      </c>
      <c r="D123" s="94" t="s">
        <v>173</v>
      </c>
      <c r="E123" s="97">
        <v>45676</v>
      </c>
      <c r="F123" s="96">
        <v>2</v>
      </c>
      <c r="G123" s="94"/>
      <c r="H123" s="94" t="s">
        <v>269</v>
      </c>
    </row>
    <row r="124" spans="1:8" x14ac:dyDescent="0.35">
      <c r="A124" s="94" t="s">
        <v>131</v>
      </c>
      <c r="B124" s="94" t="s">
        <v>165</v>
      </c>
      <c r="C124" s="94" t="s">
        <v>168</v>
      </c>
      <c r="D124" s="94" t="s">
        <v>172</v>
      </c>
      <c r="E124" s="97">
        <v>52036</v>
      </c>
      <c r="F124" s="96">
        <v>3</v>
      </c>
      <c r="G124" s="94" t="s">
        <v>180</v>
      </c>
      <c r="H124" s="94" t="s">
        <v>270</v>
      </c>
    </row>
    <row r="125" spans="1:8" x14ac:dyDescent="0.35">
      <c r="A125" s="94" t="s">
        <v>132</v>
      </c>
      <c r="B125" s="94" t="s">
        <v>162</v>
      </c>
      <c r="C125" s="94"/>
      <c r="D125" s="94" t="s">
        <v>172</v>
      </c>
      <c r="E125" s="97">
        <v>30357</v>
      </c>
      <c r="F125" s="96">
        <v>5</v>
      </c>
      <c r="G125" s="94" t="s">
        <v>180</v>
      </c>
      <c r="H125" s="94" t="s">
        <v>248</v>
      </c>
    </row>
    <row r="126" spans="1:8" x14ac:dyDescent="0.35">
      <c r="A126" s="94" t="s">
        <v>133</v>
      </c>
      <c r="B126" s="94" t="s">
        <v>161</v>
      </c>
      <c r="C126" s="94" t="s">
        <v>169</v>
      </c>
      <c r="D126" s="94"/>
      <c r="E126" s="97">
        <v>60034</v>
      </c>
      <c r="F126" s="96">
        <v>1</v>
      </c>
      <c r="G126" s="94" t="s">
        <v>181</v>
      </c>
      <c r="H126" s="94" t="s">
        <v>271</v>
      </c>
    </row>
    <row r="127" spans="1:8" x14ac:dyDescent="0.35">
      <c r="A127" s="94" t="s">
        <v>134</v>
      </c>
      <c r="B127" s="94" t="s">
        <v>161</v>
      </c>
      <c r="C127" s="94" t="s">
        <v>166</v>
      </c>
      <c r="D127" s="94" t="s">
        <v>171</v>
      </c>
      <c r="E127" s="97">
        <v>90019</v>
      </c>
      <c r="F127" s="96">
        <v>5</v>
      </c>
      <c r="G127" s="94"/>
      <c r="H127" s="94" t="s">
        <v>272</v>
      </c>
    </row>
    <row r="128" spans="1:8" x14ac:dyDescent="0.35">
      <c r="A128" s="94" t="s">
        <v>135</v>
      </c>
      <c r="B128" s="94" t="s">
        <v>165</v>
      </c>
      <c r="C128" s="94"/>
      <c r="D128" s="94" t="s">
        <v>172</v>
      </c>
      <c r="E128" s="97">
        <v>71494</v>
      </c>
      <c r="F128" s="96">
        <v>3</v>
      </c>
      <c r="G128" s="94" t="s">
        <v>180</v>
      </c>
      <c r="H128" s="94" t="s">
        <v>273</v>
      </c>
    </row>
    <row r="129" spans="1:8" x14ac:dyDescent="0.35">
      <c r="A129" s="94" t="s">
        <v>136</v>
      </c>
      <c r="B129" s="94" t="s">
        <v>161</v>
      </c>
      <c r="C129" s="94" t="s">
        <v>166</v>
      </c>
      <c r="D129" s="94" t="s">
        <v>173</v>
      </c>
      <c r="E129" s="97">
        <v>91953</v>
      </c>
      <c r="F129" s="96">
        <v>2</v>
      </c>
      <c r="G129" s="94" t="s">
        <v>180</v>
      </c>
      <c r="H129" s="94" t="s">
        <v>209</v>
      </c>
    </row>
    <row r="130" spans="1:8" x14ac:dyDescent="0.35">
      <c r="A130" s="94" t="s">
        <v>137</v>
      </c>
      <c r="B130" s="94" t="s">
        <v>164</v>
      </c>
      <c r="C130" s="94" t="s">
        <v>168</v>
      </c>
      <c r="D130" s="94" t="s">
        <v>173</v>
      </c>
      <c r="E130" s="97">
        <v>30402</v>
      </c>
      <c r="F130" s="96">
        <v>1</v>
      </c>
      <c r="G130" s="94"/>
      <c r="H130" s="94" t="s">
        <v>274</v>
      </c>
    </row>
    <row r="131" spans="1:8" x14ac:dyDescent="0.35">
      <c r="A131" s="94" t="s">
        <v>138</v>
      </c>
      <c r="B131" s="94" t="s">
        <v>165</v>
      </c>
      <c r="C131" s="94"/>
      <c r="D131" s="94" t="s">
        <v>175</v>
      </c>
      <c r="E131" s="97">
        <v>62994</v>
      </c>
      <c r="F131" s="96"/>
      <c r="G131" s="94"/>
      <c r="H131" s="94" t="s">
        <v>221</v>
      </c>
    </row>
    <row r="132" spans="1:8" x14ac:dyDescent="0.35">
      <c r="A132" s="94" t="s">
        <v>139</v>
      </c>
      <c r="B132" s="94" t="s">
        <v>160</v>
      </c>
      <c r="C132" s="94" t="s">
        <v>168</v>
      </c>
      <c r="D132" s="94" t="s">
        <v>174</v>
      </c>
      <c r="E132" s="97">
        <v>48289</v>
      </c>
      <c r="F132" s="96">
        <v>3</v>
      </c>
      <c r="G132" s="94" t="s">
        <v>180</v>
      </c>
      <c r="H132" s="94" t="s">
        <v>189</v>
      </c>
    </row>
    <row r="133" spans="1:8" x14ac:dyDescent="0.35">
      <c r="A133" s="94" t="s">
        <v>140</v>
      </c>
      <c r="B133" s="94" t="s">
        <v>163</v>
      </c>
      <c r="C133" s="94" t="s">
        <v>170</v>
      </c>
      <c r="D133" s="94" t="s">
        <v>172</v>
      </c>
      <c r="E133" s="97">
        <v>34402</v>
      </c>
      <c r="F133" s="96">
        <v>3</v>
      </c>
      <c r="G133" s="94" t="s">
        <v>179</v>
      </c>
      <c r="H133" s="94" t="s">
        <v>218</v>
      </c>
    </row>
    <row r="134" spans="1:8" x14ac:dyDescent="0.35">
      <c r="A134" s="94" t="s">
        <v>141</v>
      </c>
      <c r="B134" s="94" t="s">
        <v>159</v>
      </c>
      <c r="C134" s="94" t="s">
        <v>167</v>
      </c>
      <c r="D134" s="94" t="s">
        <v>173</v>
      </c>
      <c r="E134" s="97">
        <v>38678</v>
      </c>
      <c r="F134" s="96">
        <v>3</v>
      </c>
      <c r="G134" s="94" t="s">
        <v>179</v>
      </c>
      <c r="H134" s="94" t="s">
        <v>275</v>
      </c>
    </row>
    <row r="135" spans="1:8" x14ac:dyDescent="0.35">
      <c r="A135" s="94" t="s">
        <v>142</v>
      </c>
      <c r="B135" s="94" t="s">
        <v>164</v>
      </c>
      <c r="C135" s="94" t="s">
        <v>167</v>
      </c>
      <c r="D135" s="94" t="s">
        <v>172</v>
      </c>
      <c r="E135" s="97">
        <v>45758</v>
      </c>
      <c r="F135" s="96">
        <v>3</v>
      </c>
      <c r="G135" s="94"/>
      <c r="H135" s="94" t="s">
        <v>264</v>
      </c>
    </row>
    <row r="136" spans="1:8" x14ac:dyDescent="0.35">
      <c r="A136" s="94" t="s">
        <v>143</v>
      </c>
      <c r="B136" s="94" t="s">
        <v>159</v>
      </c>
      <c r="C136" s="94" t="s">
        <v>170</v>
      </c>
      <c r="D136" s="94" t="s">
        <v>174</v>
      </c>
      <c r="E136" s="97">
        <f>SUBTOTAL(105,E2:E135)</f>
        <v>30280</v>
      </c>
      <c r="F136" s="96">
        <v>1</v>
      </c>
      <c r="G136" s="94" t="s">
        <v>179</v>
      </c>
      <c r="H136" s="94" t="s">
        <v>231</v>
      </c>
    </row>
    <row r="137" spans="1:8" x14ac:dyDescent="0.35">
      <c r="A137" s="94" t="s">
        <v>144</v>
      </c>
      <c r="B137" s="94"/>
      <c r="C137" s="94" t="s">
        <v>169</v>
      </c>
      <c r="D137" s="94" t="s">
        <v>175</v>
      </c>
      <c r="E137" s="97">
        <v>39280</v>
      </c>
      <c r="F137" s="96">
        <v>3</v>
      </c>
      <c r="G137" s="94" t="s">
        <v>181</v>
      </c>
      <c r="H137" s="94" t="s">
        <v>214</v>
      </c>
    </row>
    <row r="138" spans="1:8" x14ac:dyDescent="0.35">
      <c r="A138" s="94" t="s">
        <v>145</v>
      </c>
      <c r="B138" s="94" t="s">
        <v>162</v>
      </c>
      <c r="C138" s="94" t="s">
        <v>166</v>
      </c>
      <c r="D138" s="94" t="s">
        <v>174</v>
      </c>
      <c r="E138" s="97">
        <v>60335</v>
      </c>
      <c r="F138" s="96">
        <v>4</v>
      </c>
      <c r="G138" s="94" t="s">
        <v>179</v>
      </c>
      <c r="H138" s="94" t="s">
        <v>227</v>
      </c>
    </row>
    <row r="139" spans="1:8" x14ac:dyDescent="0.35">
      <c r="A139" s="94" t="s">
        <v>146</v>
      </c>
      <c r="B139" s="94" t="s">
        <v>164</v>
      </c>
      <c r="C139" s="94" t="s">
        <v>167</v>
      </c>
      <c r="D139" s="94" t="s">
        <v>172</v>
      </c>
      <c r="E139" s="97">
        <v>84968</v>
      </c>
      <c r="F139" s="96"/>
      <c r="G139" s="94"/>
      <c r="H139" s="94" t="s">
        <v>276</v>
      </c>
    </row>
    <row r="140" spans="1:8" x14ac:dyDescent="0.35">
      <c r="A140" s="94" t="s">
        <v>147</v>
      </c>
      <c r="B140" s="94" t="s">
        <v>164</v>
      </c>
      <c r="C140" s="94" t="s">
        <v>170</v>
      </c>
      <c r="D140" s="94" t="s">
        <v>176</v>
      </c>
      <c r="E140" s="99">
        <v>84750</v>
      </c>
      <c r="F140" s="96">
        <v>4</v>
      </c>
      <c r="G140" s="94" t="s">
        <v>181</v>
      </c>
      <c r="H140" s="94" t="s">
        <v>195</v>
      </c>
    </row>
    <row r="141" spans="1:8" x14ac:dyDescent="0.35">
      <c r="A141" s="94" t="s">
        <v>148</v>
      </c>
      <c r="B141" s="94" t="s">
        <v>165</v>
      </c>
      <c r="C141" s="94" t="s">
        <v>169</v>
      </c>
      <c r="D141" s="94"/>
      <c r="E141" s="97">
        <v>73348</v>
      </c>
      <c r="F141" s="96">
        <v>2</v>
      </c>
      <c r="G141" s="94"/>
      <c r="H141" s="94" t="s">
        <v>243</v>
      </c>
    </row>
    <row r="142" spans="1:8" x14ac:dyDescent="0.35">
      <c r="A142" s="94" t="s">
        <v>149</v>
      </c>
      <c r="B142" s="94" t="s">
        <v>164</v>
      </c>
      <c r="C142" s="94" t="s">
        <v>168</v>
      </c>
      <c r="D142" s="94" t="s">
        <v>173</v>
      </c>
      <c r="E142" s="98" t="s">
        <v>177</v>
      </c>
      <c r="F142" s="96">
        <v>4</v>
      </c>
      <c r="G142" s="94" t="s">
        <v>179</v>
      </c>
      <c r="H142" s="94" t="s">
        <v>182</v>
      </c>
    </row>
    <row r="143" spans="1:8" x14ac:dyDescent="0.35">
      <c r="A143" s="94" t="s">
        <v>150</v>
      </c>
      <c r="B143" s="94" t="s">
        <v>162</v>
      </c>
      <c r="C143" s="94" t="s">
        <v>170</v>
      </c>
      <c r="D143" s="94" t="s">
        <v>173</v>
      </c>
      <c r="E143" s="97">
        <v>66882</v>
      </c>
      <c r="F143" s="96">
        <v>5</v>
      </c>
      <c r="G143" s="94" t="s">
        <v>179</v>
      </c>
      <c r="H143" s="94" t="s">
        <v>207</v>
      </c>
    </row>
    <row r="144" spans="1:8" x14ac:dyDescent="0.35">
      <c r="A144" s="94" t="s">
        <v>151</v>
      </c>
      <c r="B144" s="94" t="s">
        <v>160</v>
      </c>
      <c r="C144" s="94" t="s">
        <v>170</v>
      </c>
      <c r="D144" s="94"/>
      <c r="E144" s="97">
        <v>86775</v>
      </c>
      <c r="F144" s="96">
        <v>3</v>
      </c>
      <c r="G144" s="94" t="s">
        <v>179</v>
      </c>
      <c r="H144" s="94" t="s">
        <v>212</v>
      </c>
    </row>
    <row r="145" spans="1:8" x14ac:dyDescent="0.35">
      <c r="A145" s="94" t="s">
        <v>152</v>
      </c>
      <c r="B145" s="94" t="s">
        <v>164</v>
      </c>
      <c r="C145" s="94" t="s">
        <v>168</v>
      </c>
      <c r="D145" s="94" t="s">
        <v>175</v>
      </c>
      <c r="E145" s="97">
        <v>91620</v>
      </c>
      <c r="F145" s="96"/>
      <c r="G145" s="94"/>
      <c r="H145" s="94" t="s">
        <v>277</v>
      </c>
    </row>
    <row r="146" spans="1:8" x14ac:dyDescent="0.35">
      <c r="A146" s="94" t="s">
        <v>153</v>
      </c>
      <c r="B146" s="94" t="s">
        <v>159</v>
      </c>
      <c r="C146" s="94"/>
      <c r="D146" s="94"/>
      <c r="E146" s="97">
        <v>94148</v>
      </c>
      <c r="F146" s="96">
        <v>2</v>
      </c>
      <c r="G146" s="94"/>
      <c r="H146" s="94" t="s">
        <v>278</v>
      </c>
    </row>
    <row r="147" spans="1:8" x14ac:dyDescent="0.35">
      <c r="A147" s="94" t="s">
        <v>154</v>
      </c>
      <c r="B147" s="94" t="s">
        <v>163</v>
      </c>
      <c r="C147" s="94" t="s">
        <v>168</v>
      </c>
      <c r="D147" s="94" t="s">
        <v>176</v>
      </c>
      <c r="E147" s="97">
        <v>35627</v>
      </c>
      <c r="F147" s="96">
        <v>5</v>
      </c>
      <c r="G147" s="94" t="s">
        <v>181</v>
      </c>
      <c r="H147" s="94" t="s">
        <v>275</v>
      </c>
    </row>
    <row r="148" spans="1:8" x14ac:dyDescent="0.35">
      <c r="A148" s="94" t="s">
        <v>155</v>
      </c>
      <c r="B148" s="94" t="s">
        <v>161</v>
      </c>
      <c r="C148" s="94" t="s">
        <v>170</v>
      </c>
      <c r="D148" s="94" t="s">
        <v>173</v>
      </c>
      <c r="E148" s="97">
        <v>57141</v>
      </c>
      <c r="F148" s="96">
        <v>2</v>
      </c>
      <c r="G148" s="94"/>
      <c r="H148" s="94" t="s">
        <v>276</v>
      </c>
    </row>
    <row r="149" spans="1:8" x14ac:dyDescent="0.35">
      <c r="A149" s="94" t="s">
        <v>156</v>
      </c>
      <c r="B149" s="94" t="s">
        <v>165</v>
      </c>
      <c r="C149" s="94" t="s">
        <v>168</v>
      </c>
      <c r="D149" s="94" t="s">
        <v>176</v>
      </c>
      <c r="E149" s="97">
        <v>65270</v>
      </c>
      <c r="F149" s="96">
        <v>1</v>
      </c>
      <c r="G149" s="94"/>
      <c r="H149" s="94" t="s">
        <v>279</v>
      </c>
    </row>
    <row r="150" spans="1:8" x14ac:dyDescent="0.35">
      <c r="A150" s="94" t="s">
        <v>157</v>
      </c>
      <c r="B150" s="94" t="s">
        <v>165</v>
      </c>
      <c r="C150" s="94"/>
      <c r="D150" s="94" t="s">
        <v>175</v>
      </c>
      <c r="E150" s="97">
        <v>67335</v>
      </c>
      <c r="F150" s="96">
        <v>1</v>
      </c>
      <c r="G150" s="94" t="s">
        <v>179</v>
      </c>
      <c r="H150" s="94" t="s">
        <v>233</v>
      </c>
    </row>
    <row r="151" spans="1:8" x14ac:dyDescent="0.35">
      <c r="A151" s="94" t="s">
        <v>158</v>
      </c>
      <c r="B151" s="94" t="s">
        <v>163</v>
      </c>
      <c r="C151" s="94" t="s">
        <v>170</v>
      </c>
      <c r="D151" s="94" t="s">
        <v>174</v>
      </c>
      <c r="E151" s="97">
        <v>98475</v>
      </c>
      <c r="F151" s="96">
        <v>5</v>
      </c>
      <c r="G151" s="94" t="s">
        <v>179</v>
      </c>
      <c r="H151" s="94" t="s">
        <v>280</v>
      </c>
    </row>
    <row r="155" spans="1:8" x14ac:dyDescent="0.35">
      <c r="F155"/>
    </row>
    <row r="156" spans="1:8" x14ac:dyDescent="0.35">
      <c r="E156"/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28" priority="18">
      <formula>LEN(TRIM(B1))=0</formula>
    </cfRule>
    <cfRule type="containsBlanks" dxfId="27" priority="19">
      <formula>LEN(TRIM(B1))=0</formula>
    </cfRule>
    <cfRule type="timePeriod" dxfId="26" priority="23" timePeriod="yesterday">
      <formula>FLOOR(B1,1)=TODAY()-1</formula>
    </cfRule>
    <cfRule type="containsBlanks" dxfId="25" priority="24">
      <formula>LEN(TRIM(B1))=0</formula>
    </cfRule>
  </conditionalFormatting>
  <conditionalFormatting sqref="C1:C151 C357:C1048576">
    <cfRule type="containsBlanks" dxfId="24" priority="21">
      <formula>LEN(TRIM(C1))=0</formula>
    </cfRule>
    <cfRule type="containsBlanks" dxfId="23" priority="22">
      <formula>LEN(TRIM(C1))=0</formula>
    </cfRule>
  </conditionalFormatting>
  <conditionalFormatting sqref="D1:D151 D357:D1048576">
    <cfRule type="containsBlanks" dxfId="22" priority="20">
      <formula>LEN(TRIM(D1))=0</formula>
    </cfRule>
  </conditionalFormatting>
  <conditionalFormatting sqref="E1:E151 E357:E1048576">
    <cfRule type="containsText" dxfId="21" priority="12" operator="containsText" text="N/A">
      <formula>NOT(ISERROR(SEARCH("N/A",E1)))</formula>
    </cfRule>
    <cfRule type="containsBlanks" dxfId="20" priority="17">
      <formula>LEN(TRIM(E1))=0</formula>
    </cfRule>
  </conditionalFormatting>
  <conditionalFormatting sqref="F1:F151 F357:F1048576">
    <cfRule type="containsBlanks" dxfId="19" priority="16">
      <formula>LEN(TRIM(F1))=0</formula>
    </cfRule>
  </conditionalFormatting>
  <conditionalFormatting sqref="G1:G151 G357:G1048576">
    <cfRule type="containsText" dxfId="18" priority="3" operator="containsText" text="other">
      <formula>NOT(ISERROR(SEARCH("other",G1)))</formula>
    </cfRule>
    <cfRule type="containsText" dxfId="17" priority="4" operator="containsText" text="other">
      <formula>NOT(ISERROR(SEARCH("other",G1)))</formula>
    </cfRule>
    <cfRule type="containsText" dxfId="16" priority="5" operator="containsText" text="others">
      <formula>NOT(ISERROR(SEARCH("others",G1)))</formula>
    </cfRule>
    <cfRule type="containsText" dxfId="15" priority="6" operator="containsText" text="others">
      <formula>NOT(ISERROR(SEARCH("others",G1)))</formula>
    </cfRule>
    <cfRule type="containsText" dxfId="14" priority="7" operator="containsText" text="others">
      <formula>NOT(ISERROR(SEARCH("others",G1)))</formula>
    </cfRule>
    <cfRule type="containsText" dxfId="13" priority="8" operator="containsText" text="female">
      <formula>NOT(ISERROR(SEARCH("female",G1)))</formula>
    </cfRule>
    <cfRule type="containsText" dxfId="12" priority="9" operator="containsText" text="male">
      <formula>NOT(ISERROR(SEARCH("male",G1)))</formula>
    </cfRule>
    <cfRule type="containsText" dxfId="11" priority="10" operator="containsText" text="unknown">
      <formula>NOT(ISERROR(SEARCH("unknown",G1)))</formula>
    </cfRule>
    <cfRule type="cellIs" dxfId="10" priority="11" operator="greaterThan">
      <formula>"unknown"</formula>
    </cfRule>
    <cfRule type="containsBlanks" dxfId="9" priority="15">
      <formula>LEN(TRIM(G1))=0</formula>
    </cfRule>
  </conditionalFormatting>
  <conditionalFormatting sqref="H1:H151 H357:H1048576">
    <cfRule type="containsText" dxfId="8" priority="1" operator="containsText" text="invalid_email">
      <formula>NOT(ISERROR(SEARCH("invalid_email",H1)))</formula>
    </cfRule>
    <cfRule type="containsText" dxfId="7" priority="2" operator="containsText" text="invalid_email">
      <formula>NOT(ISERROR(SEARCH("invalid_email",H1)))</formula>
    </cfRule>
    <cfRule type="containsBlanks" dxfId="6" priority="13">
      <formula>LEN(TRIM(H1))=0</formula>
    </cfRule>
    <cfRule type="containsBlanks" dxfId="5" priority="14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topLeftCell="F1" workbookViewId="0">
      <selection activeCell="J19" sqref="J19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6" bestFit="1" customWidth="1"/>
    <col min="6" max="6" width="20.08984375" style="76" bestFit="1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14" x14ac:dyDescent="0.35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347</v>
      </c>
      <c r="F1" s="102" t="s">
        <v>348</v>
      </c>
      <c r="G1" s="101" t="s">
        <v>7</v>
      </c>
      <c r="H1" s="101" t="s">
        <v>349</v>
      </c>
      <c r="I1" s="103" t="s">
        <v>6</v>
      </c>
    </row>
    <row r="2" spans="1:14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5">
        <v>66008.307692307688</v>
      </c>
      <c r="F2" s="75">
        <v>69175.76470588235</v>
      </c>
      <c r="G2" s="72" t="s">
        <v>178</v>
      </c>
      <c r="H2" s="50" t="s">
        <v>178</v>
      </c>
      <c r="I2" s="74">
        <v>1</v>
      </c>
    </row>
    <row r="3" spans="1:14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5">
        <v>54255</v>
      </c>
      <c r="F3" s="75">
        <v>54255</v>
      </c>
      <c r="G3" s="72" t="s">
        <v>180</v>
      </c>
      <c r="H3" s="50" t="s">
        <v>183</v>
      </c>
      <c r="I3" s="74">
        <v>1</v>
      </c>
      <c r="K3" s="104" t="s">
        <v>347</v>
      </c>
      <c r="L3" s="105" t="s">
        <v>390</v>
      </c>
      <c r="M3" s="105" t="s">
        <v>348</v>
      </c>
      <c r="N3" s="106" t="s">
        <v>391</v>
      </c>
    </row>
    <row r="4" spans="1:14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5">
        <v>63184</v>
      </c>
      <c r="F4" s="75">
        <v>63184</v>
      </c>
      <c r="G4" s="72" t="s">
        <v>180</v>
      </c>
      <c r="H4" s="50" t="s">
        <v>184</v>
      </c>
      <c r="I4" s="74">
        <v>2</v>
      </c>
      <c r="K4" s="107" t="s">
        <v>377</v>
      </c>
      <c r="L4" s="113">
        <v>68155.190138565144</v>
      </c>
      <c r="M4" s="108" t="s">
        <v>377</v>
      </c>
      <c r="N4" s="114">
        <v>68314.288424157552</v>
      </c>
    </row>
    <row r="5" spans="1:14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5">
        <v>94406</v>
      </c>
      <c r="F5" s="75">
        <v>94406</v>
      </c>
      <c r="G5" s="72" t="s">
        <v>180</v>
      </c>
      <c r="H5" s="50" t="s">
        <v>185</v>
      </c>
      <c r="I5" s="74">
        <v>1</v>
      </c>
      <c r="K5" s="107" t="s">
        <v>378</v>
      </c>
      <c r="L5" s="108">
        <v>2163.1487388907153</v>
      </c>
      <c r="M5" s="108" t="s">
        <v>378</v>
      </c>
      <c r="N5" s="109">
        <v>2163.0900848947153</v>
      </c>
    </row>
    <row r="6" spans="1:14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5">
        <v>64120</v>
      </c>
      <c r="F6" s="75">
        <v>64120</v>
      </c>
      <c r="G6" s="72" t="s">
        <v>180</v>
      </c>
      <c r="H6" s="50" t="s">
        <v>186</v>
      </c>
      <c r="I6" s="74">
        <v>1</v>
      </c>
      <c r="K6" s="107" t="s">
        <v>379</v>
      </c>
      <c r="L6" s="113">
        <v>66982.875</v>
      </c>
      <c r="M6" s="108" t="s">
        <v>379</v>
      </c>
      <c r="N6" s="114">
        <v>69408.5625</v>
      </c>
    </row>
    <row r="7" spans="1:14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5">
        <v>78421</v>
      </c>
      <c r="F7" s="75">
        <v>78421</v>
      </c>
      <c r="G7" s="72" t="s">
        <v>181</v>
      </c>
      <c r="H7" s="50" t="s">
        <v>187</v>
      </c>
      <c r="I7" s="74">
        <v>2</v>
      </c>
      <c r="K7" s="107" t="s">
        <v>380</v>
      </c>
      <c r="L7" s="108">
        <v>66008.307692307688</v>
      </c>
      <c r="M7" s="108" t="s">
        <v>380</v>
      </c>
      <c r="N7" s="109">
        <v>69408.5625</v>
      </c>
    </row>
    <row r="8" spans="1:14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5">
        <v>35364</v>
      </c>
      <c r="F8" s="75">
        <v>35364</v>
      </c>
      <c r="G8" s="72" t="s">
        <v>180</v>
      </c>
      <c r="H8" s="50" t="s">
        <v>188</v>
      </c>
      <c r="I8" s="74">
        <v>2</v>
      </c>
      <c r="K8" s="107" t="s">
        <v>381</v>
      </c>
      <c r="L8" s="108">
        <v>21523.0581978929</v>
      </c>
      <c r="M8" s="108" t="s">
        <v>381</v>
      </c>
      <c r="N8" s="109">
        <v>21522.474598001339</v>
      </c>
    </row>
    <row r="9" spans="1:14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5">
        <v>97881</v>
      </c>
      <c r="F9" s="75">
        <v>97881</v>
      </c>
      <c r="G9" s="72" t="s">
        <v>181</v>
      </c>
      <c r="H9" s="50" t="s">
        <v>189</v>
      </c>
      <c r="I9" s="73">
        <v>3</v>
      </c>
      <c r="K9" s="107" t="s">
        <v>382</v>
      </c>
      <c r="L9" s="108">
        <v>463242034.18988472</v>
      </c>
      <c r="M9" s="108" t="s">
        <v>382</v>
      </c>
      <c r="N9" s="109">
        <v>463216912.82161289</v>
      </c>
    </row>
    <row r="10" spans="1:14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5">
        <v>91846</v>
      </c>
      <c r="F10" s="75">
        <v>91846</v>
      </c>
      <c r="G10" s="72" t="s">
        <v>180</v>
      </c>
      <c r="H10" s="50" t="s">
        <v>190</v>
      </c>
      <c r="I10" s="73">
        <v>3</v>
      </c>
      <c r="K10" s="107" t="s">
        <v>383</v>
      </c>
      <c r="L10" s="108">
        <v>-1.1650276414013285</v>
      </c>
      <c r="M10" s="108" t="s">
        <v>383</v>
      </c>
      <c r="N10" s="109">
        <v>-1.1569822627167101</v>
      </c>
    </row>
    <row r="11" spans="1:14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5">
        <v>64247</v>
      </c>
      <c r="F11" s="75">
        <v>64247</v>
      </c>
      <c r="G11" s="72" t="s">
        <v>181</v>
      </c>
      <c r="H11" s="50" t="s">
        <v>191</v>
      </c>
      <c r="I11" s="74">
        <v>1</v>
      </c>
      <c r="K11" s="107" t="s">
        <v>384</v>
      </c>
      <c r="L11" s="108">
        <v>-0.24298369861367158</v>
      </c>
      <c r="M11" s="108" t="s">
        <v>384</v>
      </c>
      <c r="N11" s="109">
        <v>-0.26554601321301169</v>
      </c>
    </row>
    <row r="12" spans="1:14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5">
        <v>91180</v>
      </c>
      <c r="F12" s="75">
        <v>91180</v>
      </c>
      <c r="G12" s="72" t="s">
        <v>180</v>
      </c>
      <c r="H12" s="50" t="s">
        <v>192</v>
      </c>
      <c r="I12" s="74">
        <v>5</v>
      </c>
      <c r="K12" s="107" t="s">
        <v>385</v>
      </c>
      <c r="L12" s="108">
        <v>69341</v>
      </c>
      <c r="M12" s="108" t="s">
        <v>385</v>
      </c>
      <c r="N12" s="109">
        <v>69341</v>
      </c>
    </row>
    <row r="13" spans="1:14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5">
        <v>62158</v>
      </c>
      <c r="F13" s="75">
        <v>62158</v>
      </c>
      <c r="G13" s="72" t="s">
        <v>180</v>
      </c>
      <c r="H13" s="50" t="s">
        <v>193</v>
      </c>
      <c r="I13" s="74">
        <v>4</v>
      </c>
      <c r="K13" s="107" t="s">
        <v>386</v>
      </c>
      <c r="L13" s="108">
        <v>30280</v>
      </c>
      <c r="M13" s="108" t="s">
        <v>386</v>
      </c>
      <c r="N13" s="109">
        <v>30280</v>
      </c>
    </row>
    <row r="14" spans="1:14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5">
        <v>59894</v>
      </c>
      <c r="F14" s="75">
        <v>59894</v>
      </c>
      <c r="G14" s="72" t="s">
        <v>180</v>
      </c>
      <c r="H14" s="50" t="s">
        <v>194</v>
      </c>
      <c r="I14" s="74">
        <v>2</v>
      </c>
      <c r="K14" s="107" t="s">
        <v>387</v>
      </c>
      <c r="L14" s="108">
        <v>99621</v>
      </c>
      <c r="M14" s="108" t="s">
        <v>387</v>
      </c>
      <c r="N14" s="109">
        <v>99621</v>
      </c>
    </row>
    <row r="15" spans="1:14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5">
        <v>92443</v>
      </c>
      <c r="F15" s="75">
        <v>92443</v>
      </c>
      <c r="G15" s="72" t="s">
        <v>180</v>
      </c>
      <c r="H15" s="50" t="s">
        <v>195</v>
      </c>
      <c r="I15" s="74">
        <v>3</v>
      </c>
      <c r="K15" s="107" t="s">
        <v>388</v>
      </c>
      <c r="L15" s="108">
        <v>6747363.823717949</v>
      </c>
      <c r="M15" s="108" t="s">
        <v>388</v>
      </c>
      <c r="N15" s="109">
        <v>6763114.5539915971</v>
      </c>
    </row>
    <row r="16" spans="1:14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5">
        <v>90271</v>
      </c>
      <c r="F16" s="75">
        <v>90271</v>
      </c>
      <c r="G16" s="72" t="s">
        <v>180</v>
      </c>
      <c r="H16" s="50" t="s">
        <v>196</v>
      </c>
      <c r="I16" s="73">
        <v>3</v>
      </c>
      <c r="K16" s="110" t="s">
        <v>389</v>
      </c>
      <c r="L16" s="111">
        <v>99</v>
      </c>
      <c r="M16" s="111" t="s">
        <v>389</v>
      </c>
      <c r="N16" s="112">
        <v>99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5">
        <v>41341</v>
      </c>
      <c r="F17" s="75">
        <v>41341</v>
      </c>
      <c r="G17" s="72" t="s">
        <v>180</v>
      </c>
      <c r="H17" s="50" t="s">
        <v>197</v>
      </c>
      <c r="I17" s="74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5">
        <v>73602</v>
      </c>
      <c r="F18" s="75">
        <v>73602</v>
      </c>
      <c r="G18" s="72" t="s">
        <v>180</v>
      </c>
      <c r="H18" s="50" t="s">
        <v>198</v>
      </c>
      <c r="I18" s="73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5">
        <v>67531</v>
      </c>
      <c r="F19" s="75">
        <v>67531</v>
      </c>
      <c r="G19" s="72" t="s">
        <v>181</v>
      </c>
      <c r="H19" s="50" t="s">
        <v>199</v>
      </c>
      <c r="I19" s="74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5">
        <v>66982.875</v>
      </c>
      <c r="F20" s="75">
        <v>69408.5625</v>
      </c>
      <c r="G20" s="72" t="s">
        <v>180</v>
      </c>
      <c r="H20" s="50" t="s">
        <v>200</v>
      </c>
      <c r="I20" s="74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5">
        <v>98922</v>
      </c>
      <c r="F21" s="75">
        <v>98922</v>
      </c>
      <c r="G21" s="72" t="s">
        <v>180</v>
      </c>
      <c r="H21" s="50" t="s">
        <v>201</v>
      </c>
      <c r="I21" s="74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5">
        <v>38333</v>
      </c>
      <c r="F22" s="75">
        <v>38333</v>
      </c>
      <c r="G22" s="72" t="s">
        <v>180</v>
      </c>
      <c r="H22" s="50" t="s">
        <v>202</v>
      </c>
      <c r="I22" s="74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5">
        <v>36515</v>
      </c>
      <c r="F23" s="75">
        <v>36515</v>
      </c>
      <c r="G23" s="72" t="s">
        <v>180</v>
      </c>
      <c r="H23" s="50" t="s">
        <v>203</v>
      </c>
      <c r="I23" s="74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5">
        <v>52272</v>
      </c>
      <c r="F25" s="75">
        <v>52272</v>
      </c>
      <c r="G25" s="72" t="s">
        <v>180</v>
      </c>
      <c r="H25" s="50" t="s">
        <v>205</v>
      </c>
      <c r="I25" s="74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5">
        <v>76518</v>
      </c>
      <c r="F26" s="75">
        <v>76518</v>
      </c>
      <c r="G26" s="72" t="s">
        <v>181</v>
      </c>
      <c r="H26" s="50" t="s">
        <v>206</v>
      </c>
      <c r="I26" s="74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5">
        <v>41448</v>
      </c>
      <c r="F27" s="75">
        <v>41448</v>
      </c>
      <c r="G27" s="72" t="s">
        <v>180</v>
      </c>
      <c r="H27" s="50" t="s">
        <v>207</v>
      </c>
      <c r="I27" s="74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5">
        <v>49282</v>
      </c>
      <c r="F28" s="75">
        <v>49282</v>
      </c>
      <c r="G28" s="72" t="s">
        <v>181</v>
      </c>
      <c r="H28" s="50" t="s">
        <v>208</v>
      </c>
      <c r="I28" s="74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5">
        <v>92959</v>
      </c>
      <c r="F29" s="75">
        <v>92959</v>
      </c>
      <c r="G29" s="72" t="s">
        <v>180</v>
      </c>
      <c r="H29" s="50" t="s">
        <v>209</v>
      </c>
      <c r="I29" s="74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5">
        <v>92259</v>
      </c>
      <c r="F30" s="75">
        <v>92259</v>
      </c>
      <c r="G30" s="72" t="s">
        <v>178</v>
      </c>
      <c r="H30" s="50" t="s">
        <v>210</v>
      </c>
      <c r="I30" s="74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5">
        <v>92299</v>
      </c>
      <c r="F31" s="75">
        <v>92299</v>
      </c>
      <c r="G31" s="72" t="s">
        <v>180</v>
      </c>
      <c r="H31" s="50" t="s">
        <v>211</v>
      </c>
      <c r="I31" s="74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5">
        <v>95586</v>
      </c>
      <c r="F32" s="75">
        <v>95586</v>
      </c>
      <c r="G32" s="72" t="s">
        <v>180</v>
      </c>
      <c r="H32" s="50" t="s">
        <v>212</v>
      </c>
      <c r="I32" s="74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5">
        <v>95367</v>
      </c>
      <c r="F33" s="75">
        <v>95367</v>
      </c>
      <c r="G33" s="72" t="s">
        <v>180</v>
      </c>
      <c r="H33" s="50" t="s">
        <v>213</v>
      </c>
      <c r="I33" s="73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5">
        <v>79549</v>
      </c>
      <c r="F34" s="75">
        <v>79549</v>
      </c>
      <c r="G34" s="72" t="s">
        <v>180</v>
      </c>
      <c r="H34" s="50" t="s">
        <v>214</v>
      </c>
      <c r="I34" s="74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5">
        <v>89781</v>
      </c>
      <c r="F35" s="75">
        <v>89781</v>
      </c>
      <c r="G35" s="72" t="s">
        <v>181</v>
      </c>
      <c r="H35" s="50" t="s">
        <v>215</v>
      </c>
      <c r="I35" s="73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5">
        <v>64796</v>
      </c>
      <c r="F36" s="75">
        <v>64796</v>
      </c>
      <c r="G36" s="72" t="s">
        <v>180</v>
      </c>
      <c r="H36" s="50" t="s">
        <v>216</v>
      </c>
      <c r="I36" s="73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5">
        <v>52093</v>
      </c>
      <c r="F37" s="75">
        <v>52093</v>
      </c>
      <c r="G37" s="72" t="s">
        <v>180</v>
      </c>
      <c r="H37" s="50" t="s">
        <v>217</v>
      </c>
      <c r="I37" s="74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5">
        <v>48224</v>
      </c>
      <c r="F38" s="75">
        <v>48224</v>
      </c>
      <c r="G38" s="72" t="s">
        <v>180</v>
      </c>
      <c r="H38" s="50" t="s">
        <v>218</v>
      </c>
      <c r="I38" s="74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5">
        <v>66008.307692307688</v>
      </c>
      <c r="F39" s="75">
        <v>67008.2</v>
      </c>
      <c r="G39" s="72" t="s">
        <v>181</v>
      </c>
      <c r="H39" s="50" t="s">
        <v>219</v>
      </c>
      <c r="I39" s="74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5">
        <v>33956</v>
      </c>
      <c r="F40" s="75">
        <v>33956</v>
      </c>
      <c r="G40" s="72" t="s">
        <v>180</v>
      </c>
      <c r="H40" s="50" t="s">
        <v>220</v>
      </c>
      <c r="I40" s="73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5">
        <v>64913</v>
      </c>
      <c r="F41" s="75">
        <v>64913</v>
      </c>
      <c r="G41" s="72" t="s">
        <v>181</v>
      </c>
      <c r="H41" s="50" t="s">
        <v>221</v>
      </c>
      <c r="I41" s="74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5">
        <v>35326</v>
      </c>
      <c r="F42" s="75">
        <v>35326</v>
      </c>
      <c r="G42" s="72" t="s">
        <v>181</v>
      </c>
      <c r="H42" s="50" t="s">
        <v>222</v>
      </c>
      <c r="I42" s="73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5">
        <v>81610</v>
      </c>
      <c r="F43" s="75">
        <v>81610</v>
      </c>
      <c r="G43" s="72" t="s">
        <v>180</v>
      </c>
      <c r="H43" s="50" t="s">
        <v>223</v>
      </c>
      <c r="I43" s="74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5">
        <v>92701</v>
      </c>
      <c r="F44" s="75">
        <v>92701</v>
      </c>
      <c r="G44" s="72" t="s">
        <v>180</v>
      </c>
      <c r="H44" s="50" t="s">
        <v>224</v>
      </c>
      <c r="I44" s="74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5">
        <v>58245</v>
      </c>
      <c r="F45" s="75">
        <v>58245</v>
      </c>
      <c r="G45" s="72" t="s">
        <v>180</v>
      </c>
      <c r="H45" s="50" t="s">
        <v>225</v>
      </c>
      <c r="I45" s="74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5">
        <v>30686</v>
      </c>
      <c r="F46" s="75">
        <v>30686</v>
      </c>
      <c r="G46" s="72" t="s">
        <v>181</v>
      </c>
      <c r="H46" s="50" t="s">
        <v>226</v>
      </c>
      <c r="I46" s="74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5">
        <v>39423</v>
      </c>
      <c r="F47" s="75">
        <v>39423</v>
      </c>
      <c r="G47" s="72" t="s">
        <v>180</v>
      </c>
      <c r="H47" s="50" t="s">
        <v>227</v>
      </c>
      <c r="I47" s="74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5">
        <v>30280</v>
      </c>
      <c r="F48" s="75">
        <v>30280</v>
      </c>
      <c r="G48" s="72" t="s">
        <v>180</v>
      </c>
      <c r="H48" s="50" t="s">
        <v>228</v>
      </c>
      <c r="I48" s="74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5">
        <v>75633</v>
      </c>
      <c r="F49" s="75">
        <v>75633</v>
      </c>
      <c r="G49" s="72" t="s">
        <v>180</v>
      </c>
      <c r="H49" s="50" t="s">
        <v>229</v>
      </c>
      <c r="I49" s="74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5">
        <v>74815</v>
      </c>
      <c r="F50" s="75">
        <v>74815</v>
      </c>
      <c r="G50" s="72" t="s">
        <v>181</v>
      </c>
      <c r="H50" s="50" t="s">
        <v>230</v>
      </c>
      <c r="I50" s="74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5">
        <v>60011</v>
      </c>
      <c r="F51" s="75">
        <v>60011</v>
      </c>
      <c r="G51" s="72" t="s">
        <v>180</v>
      </c>
      <c r="H51" s="50" t="s">
        <v>231</v>
      </c>
      <c r="I51" s="74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5">
        <v>84924</v>
      </c>
      <c r="F52" s="75">
        <v>84924</v>
      </c>
      <c r="G52" s="72" t="s">
        <v>180</v>
      </c>
      <c r="H52" s="50" t="s">
        <v>232</v>
      </c>
      <c r="I52" s="74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5">
        <v>66344</v>
      </c>
      <c r="F53" s="75">
        <v>71793.71428571429</v>
      </c>
      <c r="G53" s="72" t="s">
        <v>178</v>
      </c>
      <c r="H53" s="50" t="s">
        <v>233</v>
      </c>
      <c r="I53" s="74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5">
        <v>97981</v>
      </c>
      <c r="F54" s="75">
        <v>97981</v>
      </c>
      <c r="G54" s="72" t="s">
        <v>181</v>
      </c>
      <c r="H54" s="50" t="s">
        <v>234</v>
      </c>
      <c r="I54" s="74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5">
        <v>36541</v>
      </c>
      <c r="F55" s="75">
        <v>36541</v>
      </c>
      <c r="G55" s="72" t="s">
        <v>180</v>
      </c>
      <c r="H55" s="50" t="s">
        <v>235</v>
      </c>
      <c r="I55" s="74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5">
        <v>84737</v>
      </c>
      <c r="F56" s="75">
        <v>84737</v>
      </c>
      <c r="G56" s="72" t="s">
        <v>180</v>
      </c>
      <c r="H56" s="50" t="s">
        <v>236</v>
      </c>
      <c r="I56" s="74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5">
        <v>33468</v>
      </c>
      <c r="F57" s="75">
        <v>33468</v>
      </c>
      <c r="G57" s="72" t="s">
        <v>180</v>
      </c>
      <c r="H57" s="50" t="s">
        <v>237</v>
      </c>
      <c r="I57" s="74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5">
        <v>96365</v>
      </c>
      <c r="F58" s="75">
        <v>96365</v>
      </c>
      <c r="G58" s="72" t="s">
        <v>180</v>
      </c>
      <c r="H58" s="50" t="s">
        <v>238</v>
      </c>
      <c r="I58" s="74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5">
        <v>61942</v>
      </c>
      <c r="F59" s="75">
        <v>61942</v>
      </c>
      <c r="G59" s="72" t="s">
        <v>181</v>
      </c>
      <c r="H59" s="50" t="s">
        <v>239</v>
      </c>
      <c r="I59" s="74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5">
        <v>77096</v>
      </c>
      <c r="F60" s="75">
        <v>77096</v>
      </c>
      <c r="G60" s="72" t="s">
        <v>180</v>
      </c>
      <c r="H60" s="50" t="s">
        <v>240</v>
      </c>
      <c r="I60" s="74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5">
        <v>85065</v>
      </c>
      <c r="F61" s="75">
        <v>85065</v>
      </c>
      <c r="G61" s="72" t="s">
        <v>180</v>
      </c>
      <c r="H61" s="50" t="s">
        <v>241</v>
      </c>
      <c r="I61" s="74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5">
        <v>96142</v>
      </c>
      <c r="F62" s="75">
        <v>96142</v>
      </c>
      <c r="G62" s="72" t="s">
        <v>180</v>
      </c>
      <c r="H62" s="50" t="s">
        <v>242</v>
      </c>
      <c r="I62" s="74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5">
        <v>69166</v>
      </c>
      <c r="F63" s="75">
        <v>69166</v>
      </c>
      <c r="G63" s="72" t="s">
        <v>181</v>
      </c>
      <c r="H63" s="50" t="s">
        <v>243</v>
      </c>
      <c r="I63" s="74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5">
        <v>78245</v>
      </c>
      <c r="F64" s="75">
        <v>78245</v>
      </c>
      <c r="G64" s="72" t="s">
        <v>180</v>
      </c>
      <c r="H64" s="50" t="s">
        <v>244</v>
      </c>
      <c r="I64" s="74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5">
        <v>66079</v>
      </c>
      <c r="F65" s="75">
        <v>66079</v>
      </c>
      <c r="G65" s="72" t="s">
        <v>180</v>
      </c>
      <c r="H65" s="50" t="s">
        <v>245</v>
      </c>
      <c r="I65" s="74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5">
        <v>95621</v>
      </c>
      <c r="F66" s="75">
        <v>95621</v>
      </c>
      <c r="G66" s="72" t="s">
        <v>181</v>
      </c>
      <c r="H66" s="50" t="s">
        <v>246</v>
      </c>
      <c r="I66" s="74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5">
        <v>42262</v>
      </c>
      <c r="F67" s="75">
        <v>42262</v>
      </c>
      <c r="G67" s="72" t="s">
        <v>180</v>
      </c>
      <c r="H67" s="50" t="s">
        <v>247</v>
      </c>
      <c r="I67" s="74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5">
        <v>99621</v>
      </c>
      <c r="F68" s="75">
        <v>99621</v>
      </c>
      <c r="G68" s="72" t="s">
        <v>180</v>
      </c>
      <c r="H68" s="50" t="s">
        <v>248</v>
      </c>
      <c r="I68" s="73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5">
        <v>35163</v>
      </c>
      <c r="F69" s="75">
        <v>35163</v>
      </c>
      <c r="G69" s="72" t="s">
        <v>180</v>
      </c>
      <c r="H69" s="50" t="s">
        <v>249</v>
      </c>
      <c r="I69" s="74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5">
        <v>33483</v>
      </c>
      <c r="F70" s="75">
        <v>33483</v>
      </c>
      <c r="G70" s="72" t="s">
        <v>180</v>
      </c>
      <c r="H70" s="50" t="s">
        <v>250</v>
      </c>
      <c r="I70" s="74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5">
        <v>63434</v>
      </c>
      <c r="F71" s="75">
        <v>63434</v>
      </c>
      <c r="G71" s="72" t="s">
        <v>180</v>
      </c>
      <c r="H71" s="50" t="s">
        <v>251</v>
      </c>
      <c r="I71" s="74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5">
        <v>76238</v>
      </c>
      <c r="F72" s="75">
        <v>76238</v>
      </c>
      <c r="G72" s="72" t="s">
        <v>180</v>
      </c>
      <c r="H72" s="50" t="s">
        <v>252</v>
      </c>
      <c r="I72" s="74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5">
        <v>33264</v>
      </c>
      <c r="F73" s="75">
        <v>33264</v>
      </c>
      <c r="G73" s="72" t="s">
        <v>181</v>
      </c>
      <c r="H73" s="50" t="s">
        <v>253</v>
      </c>
      <c r="I73" s="73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5">
        <v>96101</v>
      </c>
      <c r="F74" s="75">
        <v>96101</v>
      </c>
      <c r="G74" s="72" t="s">
        <v>180</v>
      </c>
      <c r="H74" s="50" t="s">
        <v>254</v>
      </c>
      <c r="I74" s="73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5">
        <v>72939</v>
      </c>
      <c r="F75" s="75">
        <v>72939</v>
      </c>
      <c r="G75" s="72" t="s">
        <v>180</v>
      </c>
      <c r="H75" s="50" t="s">
        <v>255</v>
      </c>
      <c r="I75" s="74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5">
        <v>89333</v>
      </c>
      <c r="F76" s="75">
        <v>89333</v>
      </c>
      <c r="G76" s="72" t="s">
        <v>180</v>
      </c>
      <c r="H76" s="50" t="s">
        <v>256</v>
      </c>
      <c r="I76" s="74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5">
        <v>70470</v>
      </c>
      <c r="F77" s="75">
        <v>70470</v>
      </c>
      <c r="G77" s="72" t="s">
        <v>180</v>
      </c>
      <c r="H77" s="50" t="s">
        <v>257</v>
      </c>
      <c r="I77" s="73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5">
        <v>70096</v>
      </c>
      <c r="F78" s="75">
        <v>70096</v>
      </c>
      <c r="G78" s="72" t="s">
        <v>180</v>
      </c>
      <c r="H78" s="50" t="s">
        <v>258</v>
      </c>
      <c r="I78" s="74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5">
        <v>66344</v>
      </c>
      <c r="F79" s="75">
        <v>67279.75</v>
      </c>
      <c r="G79" s="72" t="s">
        <v>180</v>
      </c>
      <c r="H79" s="50" t="s">
        <v>259</v>
      </c>
      <c r="I79" s="74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5">
        <v>42096</v>
      </c>
      <c r="F80" s="75">
        <v>42096</v>
      </c>
      <c r="G80" s="72" t="s">
        <v>181</v>
      </c>
      <c r="H80" s="50" t="s">
        <v>260</v>
      </c>
      <c r="I80" s="73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5">
        <v>48325</v>
      </c>
      <c r="F81" s="75">
        <v>48325</v>
      </c>
      <c r="G81" s="72" t="s">
        <v>180</v>
      </c>
      <c r="H81" s="50" t="s">
        <v>261</v>
      </c>
      <c r="I81" s="73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5">
        <v>66761</v>
      </c>
      <c r="F82" s="75">
        <v>66761</v>
      </c>
      <c r="G82" s="72" t="s">
        <v>180</v>
      </c>
      <c r="H82" s="50" t="s">
        <v>262</v>
      </c>
      <c r="I82" s="74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5">
        <v>88850</v>
      </c>
      <c r="F83" s="75">
        <v>88850</v>
      </c>
      <c r="G83" s="72" t="s">
        <v>181</v>
      </c>
      <c r="H83" s="50" t="s">
        <v>263</v>
      </c>
      <c r="I83" s="74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5">
        <v>31293</v>
      </c>
      <c r="F84" s="75">
        <v>31293</v>
      </c>
      <c r="G84" s="72" t="s">
        <v>181</v>
      </c>
      <c r="H84" s="50" t="s">
        <v>264</v>
      </c>
      <c r="I84" s="74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5">
        <v>47653</v>
      </c>
      <c r="F85" s="75">
        <v>47653</v>
      </c>
      <c r="G85" s="72" t="s">
        <v>180</v>
      </c>
      <c r="H85" s="50" t="s">
        <v>265</v>
      </c>
      <c r="I85" s="74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5">
        <v>73483</v>
      </c>
      <c r="F86" s="75">
        <v>73483</v>
      </c>
      <c r="G86" s="72" t="s">
        <v>180</v>
      </c>
      <c r="H86" s="50" t="s">
        <v>266</v>
      </c>
      <c r="I86" s="74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5">
        <v>95032</v>
      </c>
      <c r="F87" s="75">
        <v>95032</v>
      </c>
      <c r="G87" s="72" t="s">
        <v>180</v>
      </c>
      <c r="H87" s="50" t="s">
        <v>267</v>
      </c>
      <c r="I87" s="74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5">
        <v>66636.333333333328</v>
      </c>
      <c r="F88" s="75">
        <v>69408.5625</v>
      </c>
      <c r="G88" s="72" t="s">
        <v>178</v>
      </c>
      <c r="H88" s="50" t="s">
        <v>268</v>
      </c>
      <c r="I88" s="74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5">
        <v>45676</v>
      </c>
      <c r="F89" s="75">
        <v>45676</v>
      </c>
      <c r="G89" s="72" t="s">
        <v>180</v>
      </c>
      <c r="H89" s="50" t="s">
        <v>269</v>
      </c>
      <c r="I89" s="74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5">
        <v>52036</v>
      </c>
      <c r="F90" s="75">
        <v>52036</v>
      </c>
      <c r="G90" s="72" t="s">
        <v>180</v>
      </c>
      <c r="H90" s="50" t="s">
        <v>270</v>
      </c>
      <c r="I90" s="74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5">
        <v>60034</v>
      </c>
      <c r="F91" s="75">
        <v>60034</v>
      </c>
      <c r="G91" s="72" t="s">
        <v>181</v>
      </c>
      <c r="H91" s="50" t="s">
        <v>271</v>
      </c>
      <c r="I91" s="74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5">
        <v>90019</v>
      </c>
      <c r="F92" s="75">
        <v>90019</v>
      </c>
      <c r="G92" s="72" t="s">
        <v>180</v>
      </c>
      <c r="H92" s="50" t="s">
        <v>272</v>
      </c>
      <c r="I92" s="74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5">
        <v>71494</v>
      </c>
      <c r="F93" s="75">
        <v>71494</v>
      </c>
      <c r="G93" s="72" t="s">
        <v>180</v>
      </c>
      <c r="H93" s="50" t="s">
        <v>273</v>
      </c>
      <c r="I93" s="74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5">
        <v>30402</v>
      </c>
      <c r="F94" s="75">
        <v>30402</v>
      </c>
      <c r="G94" s="72" t="s">
        <v>180</v>
      </c>
      <c r="H94" s="50" t="s">
        <v>274</v>
      </c>
      <c r="I94" s="74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5">
        <v>38678</v>
      </c>
      <c r="F95" s="75">
        <v>38678</v>
      </c>
      <c r="G95" s="72" t="s">
        <v>180</v>
      </c>
      <c r="H95" s="50" t="s">
        <v>275</v>
      </c>
      <c r="I95" s="74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5">
        <v>84968</v>
      </c>
      <c r="F96" s="75">
        <v>84968</v>
      </c>
      <c r="G96" s="72" t="s">
        <v>180</v>
      </c>
      <c r="H96" s="50" t="s">
        <v>276</v>
      </c>
      <c r="I96" s="73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5">
        <v>91620</v>
      </c>
      <c r="F97" s="75">
        <v>91620</v>
      </c>
      <c r="G97" s="72" t="s">
        <v>180</v>
      </c>
      <c r="H97" s="50" t="s">
        <v>277</v>
      </c>
      <c r="I97" s="73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5">
        <v>94148</v>
      </c>
      <c r="F98" s="75">
        <v>94148</v>
      </c>
      <c r="G98" s="72" t="s">
        <v>180</v>
      </c>
      <c r="H98" s="50" t="s">
        <v>278</v>
      </c>
      <c r="I98" s="74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5">
        <v>65270</v>
      </c>
      <c r="F99" s="75">
        <v>65270</v>
      </c>
      <c r="G99" s="72" t="s">
        <v>180</v>
      </c>
      <c r="H99" s="50" t="s">
        <v>279</v>
      </c>
      <c r="I99" s="74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5">
        <v>98475</v>
      </c>
      <c r="F100" s="75">
        <v>98475</v>
      </c>
      <c r="G100" s="72" t="s">
        <v>180</v>
      </c>
      <c r="H100" s="50" t="s">
        <v>280</v>
      </c>
      <c r="I100" s="74">
        <v>5</v>
      </c>
    </row>
  </sheetData>
  <conditionalFormatting sqref="A2:H100">
    <cfRule type="containsText" dxfId="4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workbookViewId="0">
      <selection activeCell="E106" sqref="E106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9" customWidth="1"/>
    <col min="4" max="4" width="12.08984375" bestFit="1" customWidth="1"/>
    <col min="5" max="5" width="20.81640625" style="76" customWidth="1"/>
    <col min="6" max="6" width="20.7265625" style="76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9" x14ac:dyDescent="0.35">
      <c r="A1" s="119" t="s">
        <v>0</v>
      </c>
      <c r="B1" s="101" t="s">
        <v>1</v>
      </c>
      <c r="C1" s="101" t="s">
        <v>2</v>
      </c>
      <c r="D1" s="101" t="s">
        <v>3</v>
      </c>
      <c r="E1" s="118" t="s">
        <v>347</v>
      </c>
      <c r="F1" s="115" t="s">
        <v>348</v>
      </c>
      <c r="G1" s="101" t="s">
        <v>7</v>
      </c>
      <c r="H1" s="101" t="s">
        <v>349</v>
      </c>
      <c r="I1" s="120" t="s">
        <v>6</v>
      </c>
    </row>
    <row r="2" spans="1:9" hidden="1" x14ac:dyDescent="0.35">
      <c r="A2" s="71" t="s">
        <v>92</v>
      </c>
      <c r="B2" s="71" t="s">
        <v>163</v>
      </c>
      <c r="C2" s="71" t="s">
        <v>168</v>
      </c>
      <c r="D2" s="71" t="s">
        <v>174</v>
      </c>
      <c r="E2" s="75">
        <v>99621</v>
      </c>
      <c r="F2" s="75">
        <v>99621</v>
      </c>
      <c r="G2" s="72" t="s">
        <v>180</v>
      </c>
      <c r="H2" s="50" t="s">
        <v>248</v>
      </c>
      <c r="I2" s="73">
        <v>3</v>
      </c>
    </row>
    <row r="3" spans="1:9" hidden="1" x14ac:dyDescent="0.35">
      <c r="A3" s="71" t="s">
        <v>30</v>
      </c>
      <c r="B3" s="71" t="s">
        <v>162</v>
      </c>
      <c r="C3" s="71" t="s">
        <v>167</v>
      </c>
      <c r="D3" s="71" t="s">
        <v>178</v>
      </c>
      <c r="E3" s="75">
        <v>98922</v>
      </c>
      <c r="F3" s="75">
        <v>98922</v>
      </c>
      <c r="G3" s="72" t="s">
        <v>180</v>
      </c>
      <c r="H3" s="50" t="s">
        <v>201</v>
      </c>
      <c r="I3" s="74">
        <v>4</v>
      </c>
    </row>
    <row r="4" spans="1:9" hidden="1" x14ac:dyDescent="0.35">
      <c r="A4" s="71" t="s">
        <v>158</v>
      </c>
      <c r="B4" s="71" t="s">
        <v>163</v>
      </c>
      <c r="C4" s="71" t="s">
        <v>170</v>
      </c>
      <c r="D4" s="71" t="s">
        <v>174</v>
      </c>
      <c r="E4" s="75">
        <v>98475</v>
      </c>
      <c r="F4" s="75">
        <v>98475</v>
      </c>
      <c r="G4" s="72" t="s">
        <v>180</v>
      </c>
      <c r="H4" s="50" t="s">
        <v>280</v>
      </c>
      <c r="I4" s="74">
        <v>5</v>
      </c>
    </row>
    <row r="5" spans="1:9" hidden="1" x14ac:dyDescent="0.35">
      <c r="A5" s="71" t="s">
        <v>71</v>
      </c>
      <c r="B5" s="71" t="s">
        <v>164</v>
      </c>
      <c r="C5" s="71" t="s">
        <v>169</v>
      </c>
      <c r="D5" s="71" t="s">
        <v>175</v>
      </c>
      <c r="E5" s="75">
        <v>97981</v>
      </c>
      <c r="F5" s="75">
        <v>97981</v>
      </c>
      <c r="G5" s="72" t="s">
        <v>181</v>
      </c>
      <c r="H5" s="50" t="s">
        <v>234</v>
      </c>
      <c r="I5" s="74">
        <v>5</v>
      </c>
    </row>
    <row r="6" spans="1:9" hidden="1" x14ac:dyDescent="0.35">
      <c r="A6" s="71" t="s">
        <v>17</v>
      </c>
      <c r="B6" s="71" t="s">
        <v>160</v>
      </c>
      <c r="C6" s="71" t="s">
        <v>169</v>
      </c>
      <c r="D6" s="71" t="s">
        <v>172</v>
      </c>
      <c r="E6" s="75">
        <v>97881</v>
      </c>
      <c r="F6" s="75">
        <v>97881</v>
      </c>
      <c r="G6" s="72" t="s">
        <v>181</v>
      </c>
      <c r="H6" s="50" t="s">
        <v>189</v>
      </c>
      <c r="I6" s="73">
        <v>3</v>
      </c>
    </row>
    <row r="7" spans="1:9" hidden="1" x14ac:dyDescent="0.35">
      <c r="A7" s="71" t="s">
        <v>75</v>
      </c>
      <c r="B7" s="71" t="s">
        <v>163</v>
      </c>
      <c r="C7" s="71" t="s">
        <v>178</v>
      </c>
      <c r="D7" s="71" t="s">
        <v>176</v>
      </c>
      <c r="E7" s="75">
        <v>96365</v>
      </c>
      <c r="F7" s="75">
        <v>96365</v>
      </c>
      <c r="G7" s="72" t="s">
        <v>180</v>
      </c>
      <c r="H7" s="50" t="s">
        <v>238</v>
      </c>
      <c r="I7" s="74">
        <v>3</v>
      </c>
    </row>
    <row r="8" spans="1:9" hidden="1" x14ac:dyDescent="0.35">
      <c r="A8" s="71" t="s">
        <v>84</v>
      </c>
      <c r="B8" s="71" t="s">
        <v>178</v>
      </c>
      <c r="C8" s="71" t="s">
        <v>168</v>
      </c>
      <c r="D8" s="71" t="s">
        <v>178</v>
      </c>
      <c r="E8" s="75">
        <v>96142</v>
      </c>
      <c r="F8" s="75">
        <v>96142</v>
      </c>
      <c r="G8" s="72" t="s">
        <v>180</v>
      </c>
      <c r="H8" s="50" t="s">
        <v>242</v>
      </c>
      <c r="I8" s="74">
        <v>1</v>
      </c>
    </row>
    <row r="9" spans="1:9" hidden="1" x14ac:dyDescent="0.35">
      <c r="A9" s="71" t="s">
        <v>104</v>
      </c>
      <c r="B9" s="71" t="s">
        <v>160</v>
      </c>
      <c r="C9" s="71" t="s">
        <v>166</v>
      </c>
      <c r="D9" s="71" t="s">
        <v>176</v>
      </c>
      <c r="E9" s="75">
        <v>96101</v>
      </c>
      <c r="F9" s="75">
        <v>96101</v>
      </c>
      <c r="G9" s="72" t="s">
        <v>180</v>
      </c>
      <c r="H9" s="50" t="s">
        <v>254</v>
      </c>
      <c r="I9" s="73">
        <v>3</v>
      </c>
    </row>
    <row r="10" spans="1:9" hidden="1" x14ac:dyDescent="0.35">
      <c r="A10" s="71" t="s">
        <v>90</v>
      </c>
      <c r="B10" s="71" t="s">
        <v>162</v>
      </c>
      <c r="C10" s="71" t="s">
        <v>168</v>
      </c>
      <c r="D10" s="71" t="s">
        <v>173</v>
      </c>
      <c r="E10" s="75">
        <v>95621</v>
      </c>
      <c r="F10" s="75">
        <v>95621</v>
      </c>
      <c r="G10" s="72" t="s">
        <v>181</v>
      </c>
      <c r="H10" s="50" t="s">
        <v>246</v>
      </c>
      <c r="I10" s="74">
        <v>3</v>
      </c>
    </row>
    <row r="11" spans="1:9" hidden="1" x14ac:dyDescent="0.35">
      <c r="A11" s="71" t="s">
        <v>41</v>
      </c>
      <c r="B11" s="71" t="s">
        <v>163</v>
      </c>
      <c r="C11" s="71" t="s">
        <v>167</v>
      </c>
      <c r="D11" s="71" t="s">
        <v>178</v>
      </c>
      <c r="E11" s="75">
        <v>95586</v>
      </c>
      <c r="F11" s="75">
        <v>95586</v>
      </c>
      <c r="G11" s="72" t="s">
        <v>180</v>
      </c>
      <c r="H11" s="50" t="s">
        <v>212</v>
      </c>
      <c r="I11" s="74">
        <v>3</v>
      </c>
    </row>
    <row r="12" spans="1:9" hidden="1" x14ac:dyDescent="0.35">
      <c r="A12" s="71" t="s">
        <v>42</v>
      </c>
      <c r="B12" s="71" t="s">
        <v>164</v>
      </c>
      <c r="C12" s="71" t="s">
        <v>178</v>
      </c>
      <c r="D12" s="71" t="s">
        <v>173</v>
      </c>
      <c r="E12" s="75">
        <v>95367</v>
      </c>
      <c r="F12" s="75">
        <v>95367</v>
      </c>
      <c r="G12" s="72" t="s">
        <v>180</v>
      </c>
      <c r="H12" s="50" t="s">
        <v>213</v>
      </c>
      <c r="I12" s="73">
        <v>3</v>
      </c>
    </row>
    <row r="13" spans="1:9" hidden="1" x14ac:dyDescent="0.35">
      <c r="A13" s="71" t="s">
        <v>127</v>
      </c>
      <c r="B13" s="71" t="s">
        <v>164</v>
      </c>
      <c r="C13" s="71" t="s">
        <v>168</v>
      </c>
      <c r="D13" s="71" t="s">
        <v>174</v>
      </c>
      <c r="E13" s="75">
        <v>95032</v>
      </c>
      <c r="F13" s="75">
        <v>95032</v>
      </c>
      <c r="G13" s="72" t="s">
        <v>180</v>
      </c>
      <c r="H13" s="50" t="s">
        <v>267</v>
      </c>
      <c r="I13" s="74">
        <v>3</v>
      </c>
    </row>
    <row r="14" spans="1:9" hidden="1" x14ac:dyDescent="0.35">
      <c r="A14" s="71" t="s">
        <v>12</v>
      </c>
      <c r="B14" s="71" t="s">
        <v>161</v>
      </c>
      <c r="C14" s="71" t="s">
        <v>168</v>
      </c>
      <c r="D14" s="71" t="s">
        <v>173</v>
      </c>
      <c r="E14" s="75">
        <v>94406</v>
      </c>
      <c r="F14" s="75">
        <v>94406</v>
      </c>
      <c r="G14" s="72" t="s">
        <v>180</v>
      </c>
      <c r="H14" s="50" t="s">
        <v>185</v>
      </c>
      <c r="I14" s="74">
        <v>1</v>
      </c>
    </row>
    <row r="15" spans="1:9" x14ac:dyDescent="0.35">
      <c r="A15" s="71" t="s">
        <v>153</v>
      </c>
      <c r="B15" s="71" t="s">
        <v>159</v>
      </c>
      <c r="C15" s="71" t="s">
        <v>178</v>
      </c>
      <c r="D15" s="71" t="s">
        <v>178</v>
      </c>
      <c r="E15" s="75">
        <v>94148</v>
      </c>
      <c r="F15" s="75">
        <v>94148</v>
      </c>
      <c r="G15" s="72" t="s">
        <v>180</v>
      </c>
      <c r="H15" s="50" t="s">
        <v>278</v>
      </c>
      <c r="I15" s="74">
        <v>2</v>
      </c>
    </row>
    <row r="16" spans="1:9" hidden="1" x14ac:dyDescent="0.35">
      <c r="A16" s="71" t="s">
        <v>38</v>
      </c>
      <c r="B16" s="71" t="s">
        <v>165</v>
      </c>
      <c r="C16" s="71" t="s">
        <v>170</v>
      </c>
      <c r="D16" s="71" t="s">
        <v>175</v>
      </c>
      <c r="E16" s="75">
        <v>92959</v>
      </c>
      <c r="F16" s="75">
        <v>92959</v>
      </c>
      <c r="G16" s="72" t="s">
        <v>180</v>
      </c>
      <c r="H16" s="50" t="s">
        <v>209</v>
      </c>
      <c r="I16" s="74">
        <v>5</v>
      </c>
    </row>
    <row r="17" spans="1:9" hidden="1" x14ac:dyDescent="0.35">
      <c r="A17" s="71" t="s">
        <v>55</v>
      </c>
      <c r="B17" s="71" t="s">
        <v>164</v>
      </c>
      <c r="C17" s="71" t="s">
        <v>169</v>
      </c>
      <c r="D17" s="71" t="s">
        <v>172</v>
      </c>
      <c r="E17" s="75">
        <v>92701</v>
      </c>
      <c r="F17" s="75">
        <v>92701</v>
      </c>
      <c r="G17" s="72" t="s">
        <v>180</v>
      </c>
      <c r="H17" s="50" t="s">
        <v>224</v>
      </c>
      <c r="I17" s="74">
        <v>3</v>
      </c>
    </row>
    <row r="18" spans="1:9" hidden="1" x14ac:dyDescent="0.35">
      <c r="A18" s="71" t="s">
        <v>24</v>
      </c>
      <c r="B18" s="71" t="s">
        <v>178</v>
      </c>
      <c r="C18" s="71" t="s">
        <v>169</v>
      </c>
      <c r="D18" s="71" t="s">
        <v>174</v>
      </c>
      <c r="E18" s="75">
        <v>92443</v>
      </c>
      <c r="F18" s="75">
        <v>92443</v>
      </c>
      <c r="G18" s="72" t="s">
        <v>180</v>
      </c>
      <c r="H18" s="50" t="s">
        <v>195</v>
      </c>
      <c r="I18" s="74">
        <v>3</v>
      </c>
    </row>
    <row r="19" spans="1:9" hidden="1" x14ac:dyDescent="0.35">
      <c r="A19" s="71" t="s">
        <v>40</v>
      </c>
      <c r="B19" s="71" t="s">
        <v>159</v>
      </c>
      <c r="C19" s="71" t="s">
        <v>167</v>
      </c>
      <c r="D19" s="71" t="s">
        <v>172</v>
      </c>
      <c r="E19" s="75">
        <v>92299</v>
      </c>
      <c r="F19" s="75">
        <v>92299</v>
      </c>
      <c r="G19" s="72" t="s">
        <v>180</v>
      </c>
      <c r="H19" s="50" t="s">
        <v>211</v>
      </c>
      <c r="I19" s="74">
        <v>3</v>
      </c>
    </row>
    <row r="20" spans="1:9" hidden="1" x14ac:dyDescent="0.35">
      <c r="A20" s="71" t="s">
        <v>39</v>
      </c>
      <c r="B20" s="71" t="s">
        <v>178</v>
      </c>
      <c r="C20" s="71" t="s">
        <v>170</v>
      </c>
      <c r="D20" s="71" t="s">
        <v>178</v>
      </c>
      <c r="E20" s="75">
        <v>92259</v>
      </c>
      <c r="F20" s="75">
        <v>92259</v>
      </c>
      <c r="G20" s="72" t="s">
        <v>178</v>
      </c>
      <c r="H20" s="50" t="s">
        <v>210</v>
      </c>
      <c r="I20" s="74">
        <v>1</v>
      </c>
    </row>
    <row r="21" spans="1:9" hidden="1" x14ac:dyDescent="0.35">
      <c r="A21" s="71" t="s">
        <v>18</v>
      </c>
      <c r="B21" s="71" t="s">
        <v>164</v>
      </c>
      <c r="C21" s="71" t="s">
        <v>167</v>
      </c>
      <c r="D21" s="71" t="s">
        <v>175</v>
      </c>
      <c r="E21" s="75">
        <v>91846</v>
      </c>
      <c r="F21" s="75">
        <v>91846</v>
      </c>
      <c r="G21" s="72" t="s">
        <v>180</v>
      </c>
      <c r="H21" s="50" t="s">
        <v>190</v>
      </c>
      <c r="I21" s="73">
        <v>3</v>
      </c>
    </row>
    <row r="22" spans="1:9" hidden="1" x14ac:dyDescent="0.35">
      <c r="A22" s="71" t="s">
        <v>152</v>
      </c>
      <c r="B22" s="71" t="s">
        <v>164</v>
      </c>
      <c r="C22" s="71" t="s">
        <v>168</v>
      </c>
      <c r="D22" s="71" t="s">
        <v>175</v>
      </c>
      <c r="E22" s="75">
        <v>91620</v>
      </c>
      <c r="F22" s="75">
        <v>91620</v>
      </c>
      <c r="G22" s="72" t="s">
        <v>180</v>
      </c>
      <c r="H22" s="50" t="s">
        <v>277</v>
      </c>
      <c r="I22" s="73">
        <v>3</v>
      </c>
    </row>
    <row r="23" spans="1:9" hidden="1" x14ac:dyDescent="0.35">
      <c r="A23" s="71" t="s">
        <v>20</v>
      </c>
      <c r="B23" s="71" t="s">
        <v>163</v>
      </c>
      <c r="C23" s="71" t="s">
        <v>169</v>
      </c>
      <c r="D23" s="71" t="s">
        <v>173</v>
      </c>
      <c r="E23" s="75">
        <v>91180</v>
      </c>
      <c r="F23" s="75">
        <v>91180</v>
      </c>
      <c r="G23" s="72" t="s">
        <v>180</v>
      </c>
      <c r="H23" s="50" t="s">
        <v>192</v>
      </c>
      <c r="I23" s="74">
        <v>5</v>
      </c>
    </row>
    <row r="24" spans="1:9" hidden="1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hidden="1" x14ac:dyDescent="0.35">
      <c r="A25" s="71" t="s">
        <v>25</v>
      </c>
      <c r="B25" s="71" t="s">
        <v>165</v>
      </c>
      <c r="C25" s="71" t="s">
        <v>178</v>
      </c>
      <c r="D25" s="71" t="s">
        <v>172</v>
      </c>
      <c r="E25" s="75">
        <v>90271</v>
      </c>
      <c r="F25" s="75">
        <v>90271</v>
      </c>
      <c r="G25" s="72" t="s">
        <v>180</v>
      </c>
      <c r="H25" s="50" t="s">
        <v>196</v>
      </c>
      <c r="I25" s="73">
        <v>3</v>
      </c>
    </row>
    <row r="26" spans="1:9" hidden="1" x14ac:dyDescent="0.35">
      <c r="A26" s="71" t="s">
        <v>134</v>
      </c>
      <c r="B26" s="71" t="s">
        <v>161</v>
      </c>
      <c r="C26" s="71" t="s">
        <v>166</v>
      </c>
      <c r="D26" s="71" t="s">
        <v>178</v>
      </c>
      <c r="E26" s="75">
        <v>90019</v>
      </c>
      <c r="F26" s="75">
        <v>90019</v>
      </c>
      <c r="G26" s="72" t="s">
        <v>180</v>
      </c>
      <c r="H26" s="50" t="s">
        <v>272</v>
      </c>
      <c r="I26" s="74">
        <v>5</v>
      </c>
    </row>
    <row r="27" spans="1:9" hidden="1" x14ac:dyDescent="0.35">
      <c r="A27" s="71" t="s">
        <v>45</v>
      </c>
      <c r="B27" s="71" t="s">
        <v>160</v>
      </c>
      <c r="C27" s="71" t="s">
        <v>169</v>
      </c>
      <c r="D27" s="71" t="s">
        <v>173</v>
      </c>
      <c r="E27" s="75">
        <v>89781</v>
      </c>
      <c r="F27" s="75">
        <v>89781</v>
      </c>
      <c r="G27" s="72" t="s">
        <v>181</v>
      </c>
      <c r="H27" s="50" t="s">
        <v>215</v>
      </c>
      <c r="I27" s="73">
        <v>3</v>
      </c>
    </row>
    <row r="28" spans="1:9" hidden="1" x14ac:dyDescent="0.35">
      <c r="A28" s="71" t="s">
        <v>106</v>
      </c>
      <c r="B28" s="71" t="s">
        <v>163</v>
      </c>
      <c r="C28" s="71" t="s">
        <v>167</v>
      </c>
      <c r="D28" s="71" t="s">
        <v>172</v>
      </c>
      <c r="E28" s="75">
        <v>89333</v>
      </c>
      <c r="F28" s="75">
        <v>89333</v>
      </c>
      <c r="G28" s="72" t="s">
        <v>180</v>
      </c>
      <c r="H28" s="50" t="s">
        <v>256</v>
      </c>
      <c r="I28" s="74">
        <v>1</v>
      </c>
    </row>
    <row r="29" spans="1:9" hidden="1" x14ac:dyDescent="0.35">
      <c r="A29" s="71" t="s">
        <v>118</v>
      </c>
      <c r="B29" s="71" t="s">
        <v>162</v>
      </c>
      <c r="C29" s="71" t="s">
        <v>178</v>
      </c>
      <c r="D29" s="71" t="s">
        <v>174</v>
      </c>
      <c r="E29" s="75">
        <v>88850</v>
      </c>
      <c r="F29" s="75">
        <v>88850</v>
      </c>
      <c r="G29" s="72" t="s">
        <v>181</v>
      </c>
      <c r="H29" s="50" t="s">
        <v>263</v>
      </c>
      <c r="I29" s="74">
        <v>1</v>
      </c>
    </row>
    <row r="30" spans="1:9" hidden="1" x14ac:dyDescent="0.35">
      <c r="A30" s="71" t="s">
        <v>80</v>
      </c>
      <c r="B30" s="71" t="s">
        <v>159</v>
      </c>
      <c r="C30" s="71" t="s">
        <v>170</v>
      </c>
      <c r="D30" s="71" t="s">
        <v>173</v>
      </c>
      <c r="E30" s="75">
        <v>85065</v>
      </c>
      <c r="F30" s="75">
        <v>85065</v>
      </c>
      <c r="G30" s="72" t="s">
        <v>180</v>
      </c>
      <c r="H30" s="50" t="s">
        <v>241</v>
      </c>
      <c r="I30" s="74">
        <v>3</v>
      </c>
    </row>
    <row r="31" spans="1:9" hidden="1" x14ac:dyDescent="0.35">
      <c r="A31" s="71" t="s">
        <v>146</v>
      </c>
      <c r="B31" s="71" t="s">
        <v>164</v>
      </c>
      <c r="C31" s="71" t="s">
        <v>167</v>
      </c>
      <c r="D31" s="71" t="s">
        <v>172</v>
      </c>
      <c r="E31" s="75">
        <v>84968</v>
      </c>
      <c r="F31" s="75">
        <v>84968</v>
      </c>
      <c r="G31" s="72" t="s">
        <v>180</v>
      </c>
      <c r="H31" s="50" t="s">
        <v>276</v>
      </c>
      <c r="I31" s="73">
        <v>3</v>
      </c>
    </row>
    <row r="32" spans="1:9" hidden="1" x14ac:dyDescent="0.35">
      <c r="A32" s="71" t="s">
        <v>67</v>
      </c>
      <c r="B32" s="71" t="s">
        <v>163</v>
      </c>
      <c r="C32" s="71" t="s">
        <v>170</v>
      </c>
      <c r="D32" s="71" t="s">
        <v>178</v>
      </c>
      <c r="E32" s="75">
        <v>84924</v>
      </c>
      <c r="F32" s="75">
        <v>84924</v>
      </c>
      <c r="G32" s="72" t="s">
        <v>180</v>
      </c>
      <c r="H32" s="50" t="s">
        <v>232</v>
      </c>
      <c r="I32" s="74">
        <v>5</v>
      </c>
    </row>
    <row r="33" spans="1:9" hidden="1" x14ac:dyDescent="0.35">
      <c r="A33" s="71" t="s">
        <v>73</v>
      </c>
      <c r="B33" s="71" t="s">
        <v>161</v>
      </c>
      <c r="C33" s="71" t="s">
        <v>169</v>
      </c>
      <c r="D33" s="71" t="s">
        <v>174</v>
      </c>
      <c r="E33" s="75">
        <v>84737</v>
      </c>
      <c r="F33" s="75">
        <v>84737</v>
      </c>
      <c r="G33" s="72" t="s">
        <v>180</v>
      </c>
      <c r="H33" s="50" t="s">
        <v>236</v>
      </c>
      <c r="I33" s="74">
        <v>1</v>
      </c>
    </row>
    <row r="34" spans="1:9" hidden="1" x14ac:dyDescent="0.35">
      <c r="A34" s="71" t="s">
        <v>53</v>
      </c>
      <c r="B34" s="71" t="s">
        <v>164</v>
      </c>
      <c r="C34" s="71" t="s">
        <v>166</v>
      </c>
      <c r="D34" s="71" t="s">
        <v>178</v>
      </c>
      <c r="E34" s="75">
        <v>81610</v>
      </c>
      <c r="F34" s="75">
        <v>81610</v>
      </c>
      <c r="G34" s="72" t="s">
        <v>180</v>
      </c>
      <c r="H34" s="50" t="s">
        <v>223</v>
      </c>
      <c r="I34" s="74">
        <v>1</v>
      </c>
    </row>
    <row r="35" spans="1:9" hidden="1" x14ac:dyDescent="0.35">
      <c r="A35" s="71" t="s">
        <v>43</v>
      </c>
      <c r="B35" s="71" t="s">
        <v>161</v>
      </c>
      <c r="C35" s="71" t="s">
        <v>168</v>
      </c>
      <c r="D35" s="71" t="s">
        <v>176</v>
      </c>
      <c r="E35" s="75">
        <v>79549</v>
      </c>
      <c r="F35" s="75">
        <v>79549</v>
      </c>
      <c r="G35" s="72" t="s">
        <v>180</v>
      </c>
      <c r="H35" s="50" t="s">
        <v>214</v>
      </c>
      <c r="I35" s="74">
        <v>3</v>
      </c>
    </row>
    <row r="36" spans="1:9" x14ac:dyDescent="0.35">
      <c r="A36" s="71" t="s">
        <v>14</v>
      </c>
      <c r="B36" s="71" t="s">
        <v>160</v>
      </c>
      <c r="C36" s="71" t="s">
        <v>169</v>
      </c>
      <c r="D36" s="71" t="s">
        <v>174</v>
      </c>
      <c r="E36" s="75">
        <v>78421</v>
      </c>
      <c r="F36" s="75">
        <v>78421</v>
      </c>
      <c r="G36" s="72" t="s">
        <v>181</v>
      </c>
      <c r="H36" s="50" t="s">
        <v>187</v>
      </c>
      <c r="I36" s="74">
        <v>2</v>
      </c>
    </row>
    <row r="37" spans="1:9" x14ac:dyDescent="0.35">
      <c r="A37" s="71" t="s">
        <v>87</v>
      </c>
      <c r="B37" s="71" t="s">
        <v>163</v>
      </c>
      <c r="C37" s="71" t="s">
        <v>178</v>
      </c>
      <c r="D37" s="71" t="s">
        <v>175</v>
      </c>
      <c r="E37" s="75">
        <v>78245</v>
      </c>
      <c r="F37" s="75">
        <v>78245</v>
      </c>
      <c r="G37" s="72" t="s">
        <v>180</v>
      </c>
      <c r="H37" s="50" t="s">
        <v>244</v>
      </c>
      <c r="I37" s="74">
        <v>2</v>
      </c>
    </row>
    <row r="38" spans="1:9" hidden="1" x14ac:dyDescent="0.35">
      <c r="A38" s="71" t="s">
        <v>78</v>
      </c>
      <c r="B38" s="71" t="s">
        <v>165</v>
      </c>
      <c r="C38" s="71" t="s">
        <v>166</v>
      </c>
      <c r="D38" s="71" t="s">
        <v>174</v>
      </c>
      <c r="E38" s="75">
        <v>77096</v>
      </c>
      <c r="F38" s="75">
        <v>77096</v>
      </c>
      <c r="G38" s="72" t="s">
        <v>180</v>
      </c>
      <c r="H38" s="50" t="s">
        <v>240</v>
      </c>
      <c r="I38" s="74">
        <v>1</v>
      </c>
    </row>
    <row r="39" spans="1:9" x14ac:dyDescent="0.35">
      <c r="A39" s="71" t="s">
        <v>35</v>
      </c>
      <c r="B39" s="71" t="s">
        <v>159</v>
      </c>
      <c r="C39" s="71" t="s">
        <v>168</v>
      </c>
      <c r="D39" s="71" t="s">
        <v>172</v>
      </c>
      <c r="E39" s="75">
        <v>76518</v>
      </c>
      <c r="F39" s="75">
        <v>76518</v>
      </c>
      <c r="G39" s="72" t="s">
        <v>181</v>
      </c>
      <c r="H39" s="50" t="s">
        <v>206</v>
      </c>
      <c r="I39" s="74">
        <v>2</v>
      </c>
    </row>
    <row r="40" spans="1:9" hidden="1" x14ac:dyDescent="0.35">
      <c r="A40" s="71" t="s">
        <v>102</v>
      </c>
      <c r="B40" s="71" t="s">
        <v>160</v>
      </c>
      <c r="C40" s="71" t="s">
        <v>178</v>
      </c>
      <c r="D40" s="71" t="s">
        <v>173</v>
      </c>
      <c r="E40" s="75">
        <v>76238</v>
      </c>
      <c r="F40" s="75">
        <v>76238</v>
      </c>
      <c r="G40" s="72" t="s">
        <v>180</v>
      </c>
      <c r="H40" s="50" t="s">
        <v>252</v>
      </c>
      <c r="I40" s="74">
        <v>4</v>
      </c>
    </row>
    <row r="41" spans="1:9" hidden="1" x14ac:dyDescent="0.35">
      <c r="A41" s="71" t="s">
        <v>63</v>
      </c>
      <c r="B41" s="71" t="s">
        <v>165</v>
      </c>
      <c r="C41" s="71" t="s">
        <v>170</v>
      </c>
      <c r="D41" s="71" t="s">
        <v>175</v>
      </c>
      <c r="E41" s="75">
        <v>75633</v>
      </c>
      <c r="F41" s="75">
        <v>75633</v>
      </c>
      <c r="G41" s="72" t="s">
        <v>180</v>
      </c>
      <c r="H41" s="50" t="s">
        <v>229</v>
      </c>
      <c r="I41" s="74">
        <v>5</v>
      </c>
    </row>
    <row r="42" spans="1:9" hidden="1" x14ac:dyDescent="0.35">
      <c r="A42" s="71" t="s">
        <v>64</v>
      </c>
      <c r="B42" s="71" t="s">
        <v>164</v>
      </c>
      <c r="C42" s="71" t="s">
        <v>178</v>
      </c>
      <c r="D42" s="71" t="s">
        <v>173</v>
      </c>
      <c r="E42" s="75">
        <v>74815</v>
      </c>
      <c r="F42" s="75">
        <v>74815</v>
      </c>
      <c r="G42" s="72" t="s">
        <v>181</v>
      </c>
      <c r="H42" s="50" t="s">
        <v>230</v>
      </c>
      <c r="I42" s="74">
        <v>5</v>
      </c>
    </row>
    <row r="43" spans="1:9" hidden="1" x14ac:dyDescent="0.35">
      <c r="A43" s="71" t="s">
        <v>27</v>
      </c>
      <c r="B43" s="71" t="s">
        <v>160</v>
      </c>
      <c r="C43" s="71" t="s">
        <v>166</v>
      </c>
      <c r="D43" s="71" t="s">
        <v>175</v>
      </c>
      <c r="E43" s="75">
        <v>73602</v>
      </c>
      <c r="F43" s="75">
        <v>73602</v>
      </c>
      <c r="G43" s="72" t="s">
        <v>180</v>
      </c>
      <c r="H43" s="50" t="s">
        <v>198</v>
      </c>
      <c r="I43" s="73">
        <v>3</v>
      </c>
    </row>
    <row r="44" spans="1:9" hidden="1" x14ac:dyDescent="0.35">
      <c r="A44" s="71" t="s">
        <v>126</v>
      </c>
      <c r="B44" s="71" t="s">
        <v>165</v>
      </c>
      <c r="C44" s="71" t="s">
        <v>170</v>
      </c>
      <c r="D44" s="71" t="s">
        <v>178</v>
      </c>
      <c r="E44" s="75">
        <v>73483</v>
      </c>
      <c r="F44" s="75">
        <v>73483</v>
      </c>
      <c r="G44" s="72" t="s">
        <v>180</v>
      </c>
      <c r="H44" s="50" t="s">
        <v>266</v>
      </c>
      <c r="I44" s="74">
        <v>1</v>
      </c>
    </row>
    <row r="45" spans="1:9" hidden="1" x14ac:dyDescent="0.35">
      <c r="A45" s="71" t="s">
        <v>105</v>
      </c>
      <c r="B45" s="71" t="s">
        <v>162</v>
      </c>
      <c r="C45" s="71" t="s">
        <v>166</v>
      </c>
      <c r="D45" s="71" t="s">
        <v>173</v>
      </c>
      <c r="E45" s="75">
        <v>72939</v>
      </c>
      <c r="F45" s="75">
        <v>72939</v>
      </c>
      <c r="G45" s="72" t="s">
        <v>180</v>
      </c>
      <c r="H45" s="50" t="s">
        <v>255</v>
      </c>
      <c r="I45" s="74">
        <v>3</v>
      </c>
    </row>
    <row r="46" spans="1:9" hidden="1" x14ac:dyDescent="0.35">
      <c r="A46" s="71" t="s">
        <v>135</v>
      </c>
      <c r="B46" s="71" t="s">
        <v>165</v>
      </c>
      <c r="C46" s="71" t="s">
        <v>178</v>
      </c>
      <c r="D46" s="71" t="s">
        <v>172</v>
      </c>
      <c r="E46" s="75">
        <v>71494</v>
      </c>
      <c r="F46" s="75">
        <v>71494</v>
      </c>
      <c r="G46" s="72" t="s">
        <v>180</v>
      </c>
      <c r="H46" s="50" t="s">
        <v>273</v>
      </c>
      <c r="I46" s="74">
        <v>3</v>
      </c>
    </row>
    <row r="47" spans="1:9" hidden="1" x14ac:dyDescent="0.35">
      <c r="A47" s="71" t="s">
        <v>107</v>
      </c>
      <c r="B47" s="71" t="s">
        <v>165</v>
      </c>
      <c r="C47" s="71" t="s">
        <v>169</v>
      </c>
      <c r="D47" s="71" t="s">
        <v>176</v>
      </c>
      <c r="E47" s="75">
        <v>70470</v>
      </c>
      <c r="F47" s="75">
        <v>70470</v>
      </c>
      <c r="G47" s="72" t="s">
        <v>180</v>
      </c>
      <c r="H47" s="50" t="s">
        <v>257</v>
      </c>
      <c r="I47" s="73">
        <v>3</v>
      </c>
    </row>
    <row r="48" spans="1:9" hidden="1" x14ac:dyDescent="0.35">
      <c r="A48" s="71" t="s">
        <v>108</v>
      </c>
      <c r="B48" s="71" t="s">
        <v>159</v>
      </c>
      <c r="C48" s="71" t="s">
        <v>170</v>
      </c>
      <c r="D48" s="71" t="s">
        <v>173</v>
      </c>
      <c r="E48" s="75">
        <v>70096</v>
      </c>
      <c r="F48" s="75">
        <v>70096</v>
      </c>
      <c r="G48" s="72" t="s">
        <v>180</v>
      </c>
      <c r="H48" s="50" t="s">
        <v>258</v>
      </c>
      <c r="I48" s="74">
        <v>4</v>
      </c>
    </row>
    <row r="49" spans="1:9" hidden="1" x14ac:dyDescent="0.35">
      <c r="A49" s="71" t="s">
        <v>86</v>
      </c>
      <c r="B49" s="71" t="s">
        <v>162</v>
      </c>
      <c r="C49" s="71" t="s">
        <v>178</v>
      </c>
      <c r="D49" s="71" t="s">
        <v>175</v>
      </c>
      <c r="E49" s="75">
        <v>69166</v>
      </c>
      <c r="F49" s="75">
        <v>69166</v>
      </c>
      <c r="G49" s="72" t="s">
        <v>181</v>
      </c>
      <c r="H49" s="50" t="s">
        <v>243</v>
      </c>
      <c r="I49" s="74">
        <v>1</v>
      </c>
    </row>
    <row r="50" spans="1:9" hidden="1" x14ac:dyDescent="0.35">
      <c r="A50" s="71" t="s">
        <v>28</v>
      </c>
      <c r="B50" s="71" t="s">
        <v>159</v>
      </c>
      <c r="C50" s="71" t="s">
        <v>178</v>
      </c>
      <c r="D50" s="71" t="s">
        <v>174</v>
      </c>
      <c r="E50" s="75">
        <v>67531</v>
      </c>
      <c r="F50" s="75">
        <v>67531</v>
      </c>
      <c r="G50" s="72" t="s">
        <v>181</v>
      </c>
      <c r="H50" s="50" t="s">
        <v>199</v>
      </c>
      <c r="I50" s="74">
        <v>5</v>
      </c>
    </row>
    <row r="51" spans="1:9" x14ac:dyDescent="0.35">
      <c r="A51" s="71" t="s">
        <v>29</v>
      </c>
      <c r="B51" s="71" t="s">
        <v>162</v>
      </c>
      <c r="C51" s="71" t="s">
        <v>167</v>
      </c>
      <c r="D51" s="71" t="s">
        <v>173</v>
      </c>
      <c r="E51" s="75">
        <v>66982.875</v>
      </c>
      <c r="F51" s="75">
        <v>69408.5625</v>
      </c>
      <c r="G51" s="72" t="s">
        <v>180</v>
      </c>
      <c r="H51" s="50" t="s">
        <v>200</v>
      </c>
      <c r="I51" s="74">
        <v>2</v>
      </c>
    </row>
    <row r="52" spans="1:9" hidden="1" x14ac:dyDescent="0.35">
      <c r="A52" s="71" t="s">
        <v>117</v>
      </c>
      <c r="B52" s="71" t="s">
        <v>163</v>
      </c>
      <c r="C52" s="71" t="s">
        <v>167</v>
      </c>
      <c r="D52" s="71" t="s">
        <v>178</v>
      </c>
      <c r="E52" s="75">
        <v>66761</v>
      </c>
      <c r="F52" s="75">
        <v>66761</v>
      </c>
      <c r="G52" s="72" t="s">
        <v>180</v>
      </c>
      <c r="H52" s="50" t="s">
        <v>262</v>
      </c>
      <c r="I52" s="74">
        <v>1</v>
      </c>
    </row>
    <row r="53" spans="1:9" hidden="1" x14ac:dyDescent="0.35">
      <c r="A53" s="71" t="s">
        <v>129</v>
      </c>
      <c r="B53" s="71" t="s">
        <v>178</v>
      </c>
      <c r="C53" s="71" t="s">
        <v>169</v>
      </c>
      <c r="D53" s="71" t="s">
        <v>173</v>
      </c>
      <c r="E53" s="75">
        <v>66636.333333333328</v>
      </c>
      <c r="F53" s="75">
        <v>69408.5625</v>
      </c>
      <c r="G53" s="72" t="s">
        <v>178</v>
      </c>
      <c r="H53" s="50" t="s">
        <v>268</v>
      </c>
      <c r="I53" s="74">
        <v>5</v>
      </c>
    </row>
    <row r="54" spans="1:9" x14ac:dyDescent="0.35">
      <c r="A54" s="71" t="s">
        <v>109</v>
      </c>
      <c r="B54" s="71" t="s">
        <v>165</v>
      </c>
      <c r="C54" s="71" t="s">
        <v>170</v>
      </c>
      <c r="D54" s="71" t="s">
        <v>178</v>
      </c>
      <c r="E54" s="75">
        <v>66344</v>
      </c>
      <c r="F54" s="75">
        <v>67279.75</v>
      </c>
      <c r="G54" s="72" t="s">
        <v>180</v>
      </c>
      <c r="H54" s="50" t="s">
        <v>259</v>
      </c>
      <c r="I54" s="74">
        <v>2</v>
      </c>
    </row>
    <row r="55" spans="1:9" hidden="1" x14ac:dyDescent="0.35">
      <c r="A55" s="71" t="s">
        <v>69</v>
      </c>
      <c r="B55" s="71" t="s">
        <v>178</v>
      </c>
      <c r="C55" s="71" t="s">
        <v>170</v>
      </c>
      <c r="D55" s="71" t="s">
        <v>172</v>
      </c>
      <c r="E55" s="75">
        <v>66344</v>
      </c>
      <c r="F55" s="75">
        <v>71793.71428571429</v>
      </c>
      <c r="G55" s="72" t="s">
        <v>178</v>
      </c>
      <c r="H55" s="50" t="s">
        <v>233</v>
      </c>
      <c r="I55" s="74">
        <v>5</v>
      </c>
    </row>
    <row r="56" spans="1:9" x14ac:dyDescent="0.35">
      <c r="A56" s="71" t="s">
        <v>88</v>
      </c>
      <c r="B56" s="71" t="s">
        <v>164</v>
      </c>
      <c r="C56" s="71" t="s">
        <v>168</v>
      </c>
      <c r="D56" s="71" t="s">
        <v>173</v>
      </c>
      <c r="E56" s="75">
        <v>66079</v>
      </c>
      <c r="F56" s="75">
        <v>66079</v>
      </c>
      <c r="G56" s="72" t="s">
        <v>180</v>
      </c>
      <c r="H56" s="50" t="s">
        <v>245</v>
      </c>
      <c r="I56" s="74">
        <v>2</v>
      </c>
    </row>
    <row r="57" spans="1:9" hidden="1" x14ac:dyDescent="0.35">
      <c r="A57" s="71" t="s">
        <v>49</v>
      </c>
      <c r="B57" s="71" t="s">
        <v>165</v>
      </c>
      <c r="C57" s="71" t="s">
        <v>166</v>
      </c>
      <c r="D57" s="71" t="s">
        <v>175</v>
      </c>
      <c r="E57" s="75">
        <v>66008.307692307688</v>
      </c>
      <c r="F57" s="75">
        <v>67008.2</v>
      </c>
      <c r="G57" s="72" t="s">
        <v>181</v>
      </c>
      <c r="H57" s="50" t="s">
        <v>219</v>
      </c>
      <c r="I57" s="74">
        <v>4</v>
      </c>
    </row>
    <row r="58" spans="1:9" hidden="1" x14ac:dyDescent="0.35">
      <c r="A58" s="71" t="s">
        <v>9</v>
      </c>
      <c r="B58" s="71" t="s">
        <v>178</v>
      </c>
      <c r="C58" s="71" t="s">
        <v>166</v>
      </c>
      <c r="D58" s="71" t="s">
        <v>178</v>
      </c>
      <c r="E58" s="75">
        <v>66008.307692307688</v>
      </c>
      <c r="F58" s="75">
        <v>69175.76470588235</v>
      </c>
      <c r="G58" s="72" t="s">
        <v>178</v>
      </c>
      <c r="H58" s="50" t="s">
        <v>178</v>
      </c>
      <c r="I58" s="74">
        <v>1</v>
      </c>
    </row>
    <row r="59" spans="1:9" hidden="1" x14ac:dyDescent="0.35">
      <c r="A59" s="71" t="s">
        <v>156</v>
      </c>
      <c r="B59" s="71" t="s">
        <v>165</v>
      </c>
      <c r="C59" s="71" t="s">
        <v>168</v>
      </c>
      <c r="D59" s="71" t="s">
        <v>176</v>
      </c>
      <c r="E59" s="75">
        <v>65270</v>
      </c>
      <c r="F59" s="75">
        <v>65270</v>
      </c>
      <c r="G59" s="72" t="s">
        <v>180</v>
      </c>
      <c r="H59" s="50" t="s">
        <v>279</v>
      </c>
      <c r="I59" s="74">
        <v>1</v>
      </c>
    </row>
    <row r="60" spans="1:9" hidden="1" x14ac:dyDescent="0.35">
      <c r="A60" s="71" t="s">
        <v>51</v>
      </c>
      <c r="B60" s="71" t="s">
        <v>165</v>
      </c>
      <c r="C60" s="71" t="s">
        <v>178</v>
      </c>
      <c r="D60" s="71" t="s">
        <v>176</v>
      </c>
      <c r="E60" s="75">
        <v>64913</v>
      </c>
      <c r="F60" s="75">
        <v>64913</v>
      </c>
      <c r="G60" s="72" t="s">
        <v>181</v>
      </c>
      <c r="H60" s="50" t="s">
        <v>221</v>
      </c>
      <c r="I60" s="74">
        <v>1</v>
      </c>
    </row>
    <row r="61" spans="1:9" hidden="1" x14ac:dyDescent="0.35">
      <c r="A61" s="71" t="s">
        <v>46</v>
      </c>
      <c r="B61" s="71" t="s">
        <v>160</v>
      </c>
      <c r="C61" s="71" t="s">
        <v>167</v>
      </c>
      <c r="D61" s="71" t="s">
        <v>178</v>
      </c>
      <c r="E61" s="75">
        <v>64796</v>
      </c>
      <c r="F61" s="75">
        <v>64796</v>
      </c>
      <c r="G61" s="72" t="s">
        <v>180</v>
      </c>
      <c r="H61" s="50" t="s">
        <v>216</v>
      </c>
      <c r="I61" s="73">
        <v>3</v>
      </c>
    </row>
    <row r="62" spans="1:9" hidden="1" x14ac:dyDescent="0.35">
      <c r="A62" s="71" t="s">
        <v>19</v>
      </c>
      <c r="B62" s="71" t="s">
        <v>163</v>
      </c>
      <c r="C62" s="71" t="s">
        <v>166</v>
      </c>
      <c r="D62" s="71" t="s">
        <v>175</v>
      </c>
      <c r="E62" s="75">
        <v>64247</v>
      </c>
      <c r="F62" s="75">
        <v>64247</v>
      </c>
      <c r="G62" s="72" t="s">
        <v>181</v>
      </c>
      <c r="H62" s="50" t="s">
        <v>191</v>
      </c>
      <c r="I62" s="74">
        <v>1</v>
      </c>
    </row>
    <row r="63" spans="1:9" hidden="1" x14ac:dyDescent="0.35">
      <c r="A63" s="71" t="s">
        <v>13</v>
      </c>
      <c r="B63" s="71" t="s">
        <v>162</v>
      </c>
      <c r="C63" s="71" t="s">
        <v>168</v>
      </c>
      <c r="D63" s="71" t="s">
        <v>172</v>
      </c>
      <c r="E63" s="75">
        <v>64120</v>
      </c>
      <c r="F63" s="75">
        <v>64120</v>
      </c>
      <c r="G63" s="72" t="s">
        <v>180</v>
      </c>
      <c r="H63" s="50" t="s">
        <v>186</v>
      </c>
      <c r="I63" s="74">
        <v>1</v>
      </c>
    </row>
    <row r="64" spans="1:9" hidden="1" x14ac:dyDescent="0.35">
      <c r="A64" s="71" t="s">
        <v>97</v>
      </c>
      <c r="B64" s="71" t="s">
        <v>164</v>
      </c>
      <c r="C64" s="71" t="s">
        <v>169</v>
      </c>
      <c r="D64" s="71" t="s">
        <v>178</v>
      </c>
      <c r="E64" s="75">
        <v>63434</v>
      </c>
      <c r="F64" s="75">
        <v>63434</v>
      </c>
      <c r="G64" s="72" t="s">
        <v>180</v>
      </c>
      <c r="H64" s="50" t="s">
        <v>251</v>
      </c>
      <c r="I64" s="74">
        <v>3</v>
      </c>
    </row>
    <row r="65" spans="1:9" x14ac:dyDescent="0.35">
      <c r="A65" s="71" t="s">
        <v>11</v>
      </c>
      <c r="B65" s="71" t="s">
        <v>160</v>
      </c>
      <c r="C65" s="71" t="s">
        <v>166</v>
      </c>
      <c r="D65" s="71" t="s">
        <v>172</v>
      </c>
      <c r="E65" s="75">
        <v>63184</v>
      </c>
      <c r="F65" s="75">
        <v>63184</v>
      </c>
      <c r="G65" s="72" t="s">
        <v>180</v>
      </c>
      <c r="H65" s="50" t="s">
        <v>184</v>
      </c>
      <c r="I65" s="74">
        <v>2</v>
      </c>
    </row>
    <row r="66" spans="1:9" hidden="1" x14ac:dyDescent="0.35">
      <c r="A66" s="71" t="s">
        <v>22</v>
      </c>
      <c r="B66" s="71" t="s">
        <v>163</v>
      </c>
      <c r="C66" s="71" t="s">
        <v>178</v>
      </c>
      <c r="D66" s="71" t="s">
        <v>174</v>
      </c>
      <c r="E66" s="75">
        <v>62158</v>
      </c>
      <c r="F66" s="75">
        <v>62158</v>
      </c>
      <c r="G66" s="72" t="s">
        <v>180</v>
      </c>
      <c r="H66" s="50" t="s">
        <v>193</v>
      </c>
      <c r="I66" s="74">
        <v>4</v>
      </c>
    </row>
    <row r="67" spans="1:9" hidden="1" x14ac:dyDescent="0.35">
      <c r="A67" s="71" t="s">
        <v>76</v>
      </c>
      <c r="B67" s="71" t="s">
        <v>160</v>
      </c>
      <c r="C67" s="71" t="s">
        <v>168</v>
      </c>
      <c r="D67" s="71" t="s">
        <v>174</v>
      </c>
      <c r="E67" s="75">
        <v>61942</v>
      </c>
      <c r="F67" s="75">
        <v>61942</v>
      </c>
      <c r="G67" s="72" t="s">
        <v>181</v>
      </c>
      <c r="H67" s="50" t="s">
        <v>239</v>
      </c>
      <c r="I67" s="74">
        <v>3</v>
      </c>
    </row>
    <row r="68" spans="1:9" hidden="1" x14ac:dyDescent="0.35">
      <c r="A68" s="71" t="s">
        <v>133</v>
      </c>
      <c r="B68" s="71" t="s">
        <v>161</v>
      </c>
      <c r="C68" s="71" t="s">
        <v>169</v>
      </c>
      <c r="D68" s="71" t="s">
        <v>178</v>
      </c>
      <c r="E68" s="75">
        <v>60034</v>
      </c>
      <c r="F68" s="75">
        <v>60034</v>
      </c>
      <c r="G68" s="72" t="s">
        <v>181</v>
      </c>
      <c r="H68" s="50" t="s">
        <v>271</v>
      </c>
      <c r="I68" s="74">
        <v>1</v>
      </c>
    </row>
    <row r="69" spans="1:9" hidden="1" x14ac:dyDescent="0.35">
      <c r="A69" s="71" t="s">
        <v>65</v>
      </c>
      <c r="B69" s="71" t="s">
        <v>161</v>
      </c>
      <c r="C69" s="71" t="s">
        <v>168</v>
      </c>
      <c r="D69" s="71" t="s">
        <v>176</v>
      </c>
      <c r="E69" s="75">
        <v>60011</v>
      </c>
      <c r="F69" s="75">
        <v>60011</v>
      </c>
      <c r="G69" s="72" t="s">
        <v>180</v>
      </c>
      <c r="H69" s="50" t="s">
        <v>231</v>
      </c>
      <c r="I69" s="74">
        <v>1</v>
      </c>
    </row>
    <row r="70" spans="1:9" x14ac:dyDescent="0.35">
      <c r="A70" s="71" t="s">
        <v>23</v>
      </c>
      <c r="B70" s="71" t="s">
        <v>162</v>
      </c>
      <c r="C70" s="71" t="s">
        <v>167</v>
      </c>
      <c r="D70" s="71" t="s">
        <v>178</v>
      </c>
      <c r="E70" s="75">
        <v>59894</v>
      </c>
      <c r="F70" s="75">
        <v>59894</v>
      </c>
      <c r="G70" s="72" t="s">
        <v>180</v>
      </c>
      <c r="H70" s="50" t="s">
        <v>194</v>
      </c>
      <c r="I70" s="74">
        <v>2</v>
      </c>
    </row>
    <row r="71" spans="1:9" hidden="1" x14ac:dyDescent="0.35">
      <c r="A71" s="71" t="s">
        <v>56</v>
      </c>
      <c r="B71" s="71" t="s">
        <v>164</v>
      </c>
      <c r="C71" s="71" t="s">
        <v>167</v>
      </c>
      <c r="D71" s="71" t="s">
        <v>174</v>
      </c>
      <c r="E71" s="75">
        <v>58245</v>
      </c>
      <c r="F71" s="75">
        <v>58245</v>
      </c>
      <c r="G71" s="72" t="s">
        <v>180</v>
      </c>
      <c r="H71" s="50" t="s">
        <v>225</v>
      </c>
      <c r="I71" s="74">
        <v>4</v>
      </c>
    </row>
    <row r="72" spans="1:9" hidden="1" x14ac:dyDescent="0.35">
      <c r="A72" s="71" t="s">
        <v>10</v>
      </c>
      <c r="B72" s="71" t="s">
        <v>159</v>
      </c>
      <c r="C72" s="71" t="s">
        <v>167</v>
      </c>
      <c r="D72" s="71" t="s">
        <v>172</v>
      </c>
      <c r="E72" s="75">
        <v>54255</v>
      </c>
      <c r="F72" s="75">
        <v>54255</v>
      </c>
      <c r="G72" s="72" t="s">
        <v>180</v>
      </c>
      <c r="H72" s="50" t="s">
        <v>183</v>
      </c>
      <c r="I72" s="74">
        <v>1</v>
      </c>
    </row>
    <row r="73" spans="1:9" hidden="1" x14ac:dyDescent="0.35">
      <c r="A73" s="71" t="s">
        <v>34</v>
      </c>
      <c r="B73" s="71" t="s">
        <v>164</v>
      </c>
      <c r="C73" s="71" t="s">
        <v>178</v>
      </c>
      <c r="D73" s="71" t="s">
        <v>178</v>
      </c>
      <c r="E73" s="75">
        <v>52272</v>
      </c>
      <c r="F73" s="75">
        <v>52272</v>
      </c>
      <c r="G73" s="72" t="s">
        <v>180</v>
      </c>
      <c r="H73" s="50" t="s">
        <v>205</v>
      </c>
      <c r="I73" s="74">
        <v>3</v>
      </c>
    </row>
    <row r="74" spans="1:9" hidden="1" x14ac:dyDescent="0.35">
      <c r="A74" s="71" t="s">
        <v>47</v>
      </c>
      <c r="B74" s="71" t="s">
        <v>161</v>
      </c>
      <c r="C74" s="71" t="s">
        <v>170</v>
      </c>
      <c r="D74" s="71" t="s">
        <v>175</v>
      </c>
      <c r="E74" s="75">
        <v>52093</v>
      </c>
      <c r="F74" s="75">
        <v>52093</v>
      </c>
      <c r="G74" s="72" t="s">
        <v>180</v>
      </c>
      <c r="H74" s="50" t="s">
        <v>217</v>
      </c>
      <c r="I74" s="74">
        <v>5</v>
      </c>
    </row>
    <row r="75" spans="1:9" hidden="1" x14ac:dyDescent="0.35">
      <c r="A75" s="71" t="s">
        <v>131</v>
      </c>
      <c r="B75" s="71" t="s">
        <v>165</v>
      </c>
      <c r="C75" s="71" t="s">
        <v>168</v>
      </c>
      <c r="D75" s="71" t="s">
        <v>172</v>
      </c>
      <c r="E75" s="75">
        <v>52036</v>
      </c>
      <c r="F75" s="75">
        <v>52036</v>
      </c>
      <c r="G75" s="72" t="s">
        <v>180</v>
      </c>
      <c r="H75" s="50" t="s">
        <v>270</v>
      </c>
      <c r="I75" s="74">
        <v>3</v>
      </c>
    </row>
    <row r="76" spans="1:9" x14ac:dyDescent="0.35">
      <c r="A76" s="71" t="s">
        <v>37</v>
      </c>
      <c r="B76" s="71" t="s">
        <v>161</v>
      </c>
      <c r="C76" s="71" t="s">
        <v>167</v>
      </c>
      <c r="D76" s="71" t="s">
        <v>175</v>
      </c>
      <c r="E76" s="75">
        <v>49282</v>
      </c>
      <c r="F76" s="75">
        <v>49282</v>
      </c>
      <c r="G76" s="72" t="s">
        <v>181</v>
      </c>
      <c r="H76" s="50" t="s">
        <v>208</v>
      </c>
      <c r="I76" s="74">
        <v>2</v>
      </c>
    </row>
    <row r="77" spans="1:9" hidden="1" x14ac:dyDescent="0.35">
      <c r="A77" s="71" t="s">
        <v>115</v>
      </c>
      <c r="B77" s="71" t="s">
        <v>159</v>
      </c>
      <c r="C77" s="71" t="s">
        <v>169</v>
      </c>
      <c r="D77" s="71" t="s">
        <v>178</v>
      </c>
      <c r="E77" s="75">
        <v>48325</v>
      </c>
      <c r="F77" s="75">
        <v>48325</v>
      </c>
      <c r="G77" s="72" t="s">
        <v>180</v>
      </c>
      <c r="H77" s="50" t="s">
        <v>261</v>
      </c>
      <c r="I77" s="73">
        <v>3</v>
      </c>
    </row>
    <row r="78" spans="1:9" hidden="1" x14ac:dyDescent="0.35">
      <c r="A78" s="71" t="s">
        <v>48</v>
      </c>
      <c r="B78" s="71" t="s">
        <v>164</v>
      </c>
      <c r="C78" s="71" t="s">
        <v>167</v>
      </c>
      <c r="D78" s="71" t="s">
        <v>175</v>
      </c>
      <c r="E78" s="75">
        <v>48224</v>
      </c>
      <c r="F78" s="75">
        <v>48224</v>
      </c>
      <c r="G78" s="72" t="s">
        <v>180</v>
      </c>
      <c r="H78" s="50" t="s">
        <v>218</v>
      </c>
      <c r="I78" s="74">
        <v>3</v>
      </c>
    </row>
    <row r="79" spans="1:9" hidden="1" x14ac:dyDescent="0.35">
      <c r="A79" s="71" t="s">
        <v>122</v>
      </c>
      <c r="B79" s="71" t="s">
        <v>160</v>
      </c>
      <c r="C79" s="71" t="s">
        <v>169</v>
      </c>
      <c r="D79" s="71" t="s">
        <v>173</v>
      </c>
      <c r="E79" s="75">
        <v>47653</v>
      </c>
      <c r="F79" s="75">
        <v>47653</v>
      </c>
      <c r="G79" s="72" t="s">
        <v>180</v>
      </c>
      <c r="H79" s="50" t="s">
        <v>265</v>
      </c>
      <c r="I79" s="74">
        <v>1</v>
      </c>
    </row>
    <row r="80" spans="1:9" x14ac:dyDescent="0.35">
      <c r="A80" s="71" t="s">
        <v>130</v>
      </c>
      <c r="B80" s="71" t="s">
        <v>164</v>
      </c>
      <c r="C80" s="71" t="s">
        <v>168</v>
      </c>
      <c r="D80" s="71" t="s">
        <v>173</v>
      </c>
      <c r="E80" s="75">
        <v>45676</v>
      </c>
      <c r="F80" s="75">
        <v>45676</v>
      </c>
      <c r="G80" s="72" t="s">
        <v>180</v>
      </c>
      <c r="H80" s="50" t="s">
        <v>269</v>
      </c>
      <c r="I80" s="74">
        <v>2</v>
      </c>
    </row>
    <row r="81" spans="1:9" hidden="1" x14ac:dyDescent="0.35">
      <c r="A81" s="71" t="s">
        <v>91</v>
      </c>
      <c r="B81" s="71" t="s">
        <v>159</v>
      </c>
      <c r="C81" s="71" t="s">
        <v>169</v>
      </c>
      <c r="D81" s="71" t="s">
        <v>175</v>
      </c>
      <c r="E81" s="75">
        <v>42262</v>
      </c>
      <c r="F81" s="75">
        <v>42262</v>
      </c>
      <c r="G81" s="72" t="s">
        <v>180</v>
      </c>
      <c r="H81" s="50" t="s">
        <v>247</v>
      </c>
      <c r="I81" s="74">
        <v>1</v>
      </c>
    </row>
    <row r="82" spans="1:9" hidden="1" x14ac:dyDescent="0.35">
      <c r="A82" s="71" t="s">
        <v>111</v>
      </c>
      <c r="B82" s="71" t="s">
        <v>160</v>
      </c>
      <c r="C82" s="71" t="s">
        <v>167</v>
      </c>
      <c r="D82" s="71" t="s">
        <v>172</v>
      </c>
      <c r="E82" s="75">
        <v>42096</v>
      </c>
      <c r="F82" s="75">
        <v>42096</v>
      </c>
      <c r="G82" s="72" t="s">
        <v>181</v>
      </c>
      <c r="H82" s="50" t="s">
        <v>260</v>
      </c>
      <c r="I82" s="73">
        <v>3</v>
      </c>
    </row>
    <row r="83" spans="1:9" hidden="1" x14ac:dyDescent="0.35">
      <c r="A83" s="71" t="s">
        <v>36</v>
      </c>
      <c r="B83" s="71" t="s">
        <v>160</v>
      </c>
      <c r="C83" s="71" t="s">
        <v>169</v>
      </c>
      <c r="D83" s="71" t="s">
        <v>175</v>
      </c>
      <c r="E83" s="75">
        <v>41448</v>
      </c>
      <c r="F83" s="75">
        <v>41448</v>
      </c>
      <c r="G83" s="72" t="s">
        <v>180</v>
      </c>
      <c r="H83" s="50" t="s">
        <v>207</v>
      </c>
      <c r="I83" s="74">
        <v>3</v>
      </c>
    </row>
    <row r="84" spans="1:9" hidden="1" x14ac:dyDescent="0.35">
      <c r="A84" s="71" t="s">
        <v>26</v>
      </c>
      <c r="B84" s="71" t="s">
        <v>162</v>
      </c>
      <c r="C84" s="71" t="s">
        <v>166</v>
      </c>
      <c r="D84" s="71" t="s">
        <v>176</v>
      </c>
      <c r="E84" s="75">
        <v>41341</v>
      </c>
      <c r="F84" s="75">
        <v>41341</v>
      </c>
      <c r="G84" s="72" t="s">
        <v>180</v>
      </c>
      <c r="H84" s="50" t="s">
        <v>197</v>
      </c>
      <c r="I84" s="74">
        <v>1</v>
      </c>
    </row>
    <row r="85" spans="1:9" hidden="1" x14ac:dyDescent="0.35">
      <c r="A85" s="71" t="s">
        <v>60</v>
      </c>
      <c r="B85" s="71" t="s">
        <v>163</v>
      </c>
      <c r="C85" s="71" t="s">
        <v>168</v>
      </c>
      <c r="D85" s="71" t="s">
        <v>174</v>
      </c>
      <c r="E85" s="75">
        <v>39423</v>
      </c>
      <c r="F85" s="75">
        <v>39423</v>
      </c>
      <c r="G85" s="72" t="s">
        <v>180</v>
      </c>
      <c r="H85" s="50" t="s">
        <v>227</v>
      </c>
      <c r="I85" s="74">
        <v>5</v>
      </c>
    </row>
    <row r="86" spans="1:9" hidden="1" x14ac:dyDescent="0.35">
      <c r="A86" s="71" t="s">
        <v>141</v>
      </c>
      <c r="B86" s="71" t="s">
        <v>159</v>
      </c>
      <c r="C86" s="71" t="s">
        <v>167</v>
      </c>
      <c r="D86" s="71" t="s">
        <v>173</v>
      </c>
      <c r="E86" s="75">
        <v>38678</v>
      </c>
      <c r="F86" s="75">
        <v>38678</v>
      </c>
      <c r="G86" s="72" t="s">
        <v>180</v>
      </c>
      <c r="H86" s="50" t="s">
        <v>275</v>
      </c>
      <c r="I86" s="74">
        <v>3</v>
      </c>
    </row>
    <row r="87" spans="1:9" hidden="1" x14ac:dyDescent="0.35">
      <c r="A87" s="71" t="s">
        <v>31</v>
      </c>
      <c r="B87" s="71" t="s">
        <v>159</v>
      </c>
      <c r="C87" s="71" t="s">
        <v>166</v>
      </c>
      <c r="D87" s="71" t="s">
        <v>174</v>
      </c>
      <c r="E87" s="75">
        <v>38333</v>
      </c>
      <c r="F87" s="75">
        <v>38333</v>
      </c>
      <c r="G87" s="72" t="s">
        <v>180</v>
      </c>
      <c r="H87" s="50" t="s">
        <v>202</v>
      </c>
      <c r="I87" s="74">
        <v>5</v>
      </c>
    </row>
    <row r="88" spans="1:9" x14ac:dyDescent="0.35">
      <c r="A88" s="71" t="s">
        <v>72</v>
      </c>
      <c r="B88" s="71" t="s">
        <v>159</v>
      </c>
      <c r="C88" s="71" t="s">
        <v>167</v>
      </c>
      <c r="D88" s="71" t="s">
        <v>173</v>
      </c>
      <c r="E88" s="75">
        <v>36541</v>
      </c>
      <c r="F88" s="75">
        <v>36541</v>
      </c>
      <c r="G88" s="72" t="s">
        <v>180</v>
      </c>
      <c r="H88" s="50" t="s">
        <v>235</v>
      </c>
      <c r="I88" s="74">
        <v>2</v>
      </c>
    </row>
    <row r="89" spans="1:9" hidden="1" x14ac:dyDescent="0.35">
      <c r="A89" s="71" t="s">
        <v>32</v>
      </c>
      <c r="B89" s="71" t="s">
        <v>160</v>
      </c>
      <c r="C89" s="71" t="s">
        <v>170</v>
      </c>
      <c r="D89" s="71" t="s">
        <v>175</v>
      </c>
      <c r="E89" s="75">
        <v>36515</v>
      </c>
      <c r="F89" s="75">
        <v>36515</v>
      </c>
      <c r="G89" s="72" t="s">
        <v>180</v>
      </c>
      <c r="H89" s="50" t="s">
        <v>203</v>
      </c>
      <c r="I89" s="74">
        <v>3</v>
      </c>
    </row>
    <row r="90" spans="1:9" x14ac:dyDescent="0.35">
      <c r="A90" s="71" t="s">
        <v>16</v>
      </c>
      <c r="B90" s="71" t="s">
        <v>164</v>
      </c>
      <c r="C90" s="71" t="s">
        <v>170</v>
      </c>
      <c r="D90" s="71" t="s">
        <v>178</v>
      </c>
      <c r="E90" s="75">
        <v>35364</v>
      </c>
      <c r="F90" s="75">
        <v>35364</v>
      </c>
      <c r="G90" s="72" t="s">
        <v>180</v>
      </c>
      <c r="H90" s="50" t="s">
        <v>188</v>
      </c>
      <c r="I90" s="74">
        <v>2</v>
      </c>
    </row>
    <row r="91" spans="1:9" hidden="1" x14ac:dyDescent="0.35">
      <c r="A91" s="71" t="s">
        <v>52</v>
      </c>
      <c r="B91" s="71" t="s">
        <v>160</v>
      </c>
      <c r="C91" s="71" t="s">
        <v>170</v>
      </c>
      <c r="D91" s="71" t="s">
        <v>176</v>
      </c>
      <c r="E91" s="75">
        <v>35326</v>
      </c>
      <c r="F91" s="75">
        <v>35326</v>
      </c>
      <c r="G91" s="72" t="s">
        <v>181</v>
      </c>
      <c r="H91" s="50" t="s">
        <v>222</v>
      </c>
      <c r="I91" s="73">
        <v>3</v>
      </c>
    </row>
    <row r="92" spans="1:9" hidden="1" x14ac:dyDescent="0.35">
      <c r="A92" s="71" t="s">
        <v>94</v>
      </c>
      <c r="B92" s="71" t="s">
        <v>164</v>
      </c>
      <c r="C92" s="71" t="s">
        <v>166</v>
      </c>
      <c r="D92" s="71" t="s">
        <v>178</v>
      </c>
      <c r="E92" s="75">
        <v>35163</v>
      </c>
      <c r="F92" s="75">
        <v>35163</v>
      </c>
      <c r="G92" s="72" t="s">
        <v>180</v>
      </c>
      <c r="H92" s="50" t="s">
        <v>249</v>
      </c>
      <c r="I92" s="74">
        <v>5</v>
      </c>
    </row>
    <row r="93" spans="1:9" hidden="1" x14ac:dyDescent="0.35">
      <c r="A93" s="71" t="s">
        <v>50</v>
      </c>
      <c r="B93" s="71" t="s">
        <v>160</v>
      </c>
      <c r="C93" s="71" t="s">
        <v>169</v>
      </c>
      <c r="D93" s="71" t="s">
        <v>172</v>
      </c>
      <c r="E93" s="75">
        <v>33956</v>
      </c>
      <c r="F93" s="75">
        <v>33956</v>
      </c>
      <c r="G93" s="72" t="s">
        <v>180</v>
      </c>
      <c r="H93" s="50" t="s">
        <v>220</v>
      </c>
      <c r="I93" s="73">
        <v>3</v>
      </c>
    </row>
    <row r="94" spans="1:9" hidden="1" x14ac:dyDescent="0.35">
      <c r="A94" s="71" t="s">
        <v>95</v>
      </c>
      <c r="B94" s="71" t="s">
        <v>164</v>
      </c>
      <c r="C94" s="71" t="s">
        <v>169</v>
      </c>
      <c r="D94" s="71" t="s">
        <v>174</v>
      </c>
      <c r="E94" s="75">
        <v>33483</v>
      </c>
      <c r="F94" s="75">
        <v>33483</v>
      </c>
      <c r="G94" s="72" t="s">
        <v>180</v>
      </c>
      <c r="H94" s="50" t="s">
        <v>250</v>
      </c>
      <c r="I94" s="74">
        <v>4</v>
      </c>
    </row>
    <row r="95" spans="1:9" hidden="1" x14ac:dyDescent="0.35">
      <c r="A95" s="71" t="s">
        <v>74</v>
      </c>
      <c r="B95" s="71" t="s">
        <v>163</v>
      </c>
      <c r="C95" s="71" t="s">
        <v>166</v>
      </c>
      <c r="D95" s="71" t="s">
        <v>174</v>
      </c>
      <c r="E95" s="75">
        <v>33468</v>
      </c>
      <c r="F95" s="75">
        <v>33468</v>
      </c>
      <c r="G95" s="72" t="s">
        <v>180</v>
      </c>
      <c r="H95" s="50" t="s">
        <v>237</v>
      </c>
      <c r="I95" s="74">
        <v>4</v>
      </c>
    </row>
    <row r="96" spans="1:9" hidden="1" x14ac:dyDescent="0.35">
      <c r="A96" s="71" t="s">
        <v>103</v>
      </c>
      <c r="B96" s="71" t="s">
        <v>165</v>
      </c>
      <c r="C96" s="71" t="s">
        <v>169</v>
      </c>
      <c r="D96" s="71" t="s">
        <v>174</v>
      </c>
      <c r="E96" s="75">
        <v>33264</v>
      </c>
      <c r="F96" s="75">
        <v>33264</v>
      </c>
      <c r="G96" s="72" t="s">
        <v>181</v>
      </c>
      <c r="H96" s="50" t="s">
        <v>253</v>
      </c>
      <c r="I96" s="73">
        <v>3</v>
      </c>
    </row>
    <row r="97" spans="1:9" x14ac:dyDescent="0.35">
      <c r="A97" s="71" t="s">
        <v>119</v>
      </c>
      <c r="B97" s="71" t="s">
        <v>164</v>
      </c>
      <c r="C97" s="71" t="s">
        <v>168</v>
      </c>
      <c r="D97" s="71" t="s">
        <v>174</v>
      </c>
      <c r="E97" s="75">
        <v>31293</v>
      </c>
      <c r="F97" s="75">
        <v>31293</v>
      </c>
      <c r="G97" s="72" t="s">
        <v>181</v>
      </c>
      <c r="H97" s="50" t="s">
        <v>264</v>
      </c>
      <c r="I97" s="74">
        <v>2</v>
      </c>
    </row>
    <row r="98" spans="1:9" x14ac:dyDescent="0.35">
      <c r="A98" s="71" t="s">
        <v>59</v>
      </c>
      <c r="B98" s="71" t="s">
        <v>164</v>
      </c>
      <c r="C98" s="71" t="s">
        <v>178</v>
      </c>
      <c r="D98" s="71" t="s">
        <v>178</v>
      </c>
      <c r="E98" s="75">
        <v>30686</v>
      </c>
      <c r="F98" s="75">
        <v>30686</v>
      </c>
      <c r="G98" s="72" t="s">
        <v>181</v>
      </c>
      <c r="H98" s="50" t="s">
        <v>226</v>
      </c>
      <c r="I98" s="74">
        <v>2</v>
      </c>
    </row>
    <row r="99" spans="1:9" hidden="1" x14ac:dyDescent="0.35">
      <c r="A99" s="71" t="s">
        <v>137</v>
      </c>
      <c r="B99" s="71" t="s">
        <v>164</v>
      </c>
      <c r="C99" s="71" t="s">
        <v>168</v>
      </c>
      <c r="D99" s="71" t="s">
        <v>173</v>
      </c>
      <c r="E99" s="75">
        <v>30402</v>
      </c>
      <c r="F99" s="75">
        <v>30402</v>
      </c>
      <c r="G99" s="72" t="s">
        <v>180</v>
      </c>
      <c r="H99" s="50" t="s">
        <v>274</v>
      </c>
      <c r="I99" s="74">
        <v>1</v>
      </c>
    </row>
    <row r="100" spans="1:9" hidden="1" x14ac:dyDescent="0.35">
      <c r="A100" s="71" t="s">
        <v>61</v>
      </c>
      <c r="B100" s="71" t="s">
        <v>159</v>
      </c>
      <c r="C100" s="71" t="s">
        <v>170</v>
      </c>
      <c r="D100" s="71" t="s">
        <v>178</v>
      </c>
      <c r="E100" s="75">
        <v>30280</v>
      </c>
      <c r="F100" s="75">
        <v>30280</v>
      </c>
      <c r="G100" s="72" t="s">
        <v>180</v>
      </c>
      <c r="H100" s="50" t="s">
        <v>228</v>
      </c>
      <c r="I100" s="74">
        <v>1</v>
      </c>
    </row>
    <row r="102" spans="1:9" x14ac:dyDescent="0.35">
      <c r="A102" s="116" t="s">
        <v>374</v>
      </c>
      <c r="E102"/>
    </row>
    <row r="103" spans="1:9" x14ac:dyDescent="0.35">
      <c r="A103" s="117" t="s">
        <v>392</v>
      </c>
      <c r="B103" s="117"/>
      <c r="C103" s="117"/>
      <c r="E103"/>
    </row>
    <row r="104" spans="1:9" x14ac:dyDescent="0.35">
      <c r="A104" s="117" t="s">
        <v>393</v>
      </c>
      <c r="B104" s="117"/>
      <c r="C104" s="117"/>
      <c r="E104"/>
    </row>
  </sheetData>
  <conditionalFormatting sqref="A2:H100">
    <cfRule type="containsText" dxfId="3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D2:D100">
      <formula1>"India,Germany,UK,USA,Australia,Unknown"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A1">
      <formula1>$A$1:$A$100</formula1>
    </dataValidation>
    <dataValidation type="list" allowBlank="1" showInputMessage="1" showErrorMessage="1" sqref="B105:B1048576 B103 B1:B101">
      <formula1>$B$2:$B$100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2" sqref="F2"/>
    </sheetView>
  </sheetViews>
  <sheetFormatPr defaultRowHeight="14.5" x14ac:dyDescent="0.35"/>
  <cols>
    <col min="1" max="1" width="9.90625" bestFit="1" customWidth="1"/>
    <col min="2" max="2" width="11.453125" bestFit="1" customWidth="1"/>
    <col min="3" max="3" width="14.54296875" bestFit="1" customWidth="1"/>
    <col min="5" max="5" width="9.453125" bestFit="1" customWidth="1"/>
  </cols>
  <sheetData>
    <row r="1" spans="1:3" x14ac:dyDescent="0.35">
      <c r="A1" s="123" t="s">
        <v>399</v>
      </c>
      <c r="B1" s="123" t="s">
        <v>397</v>
      </c>
      <c r="C1" s="123" t="s">
        <v>398</v>
      </c>
    </row>
    <row r="2" spans="1:3" x14ac:dyDescent="0.35">
      <c r="A2" s="50" t="s">
        <v>394</v>
      </c>
      <c r="B2" s="50"/>
      <c r="C2" s="121">
        <f ca="1">TODAY()</f>
        <v>46040</v>
      </c>
    </row>
    <row r="3" spans="1:3" x14ac:dyDescent="0.35">
      <c r="A3" s="50" t="s">
        <v>395</v>
      </c>
      <c r="B3" s="50"/>
      <c r="C3" s="122">
        <f ca="1">NOW()</f>
        <v>46040.90973136574</v>
      </c>
    </row>
    <row r="4" spans="1:3" x14ac:dyDescent="0.35">
      <c r="A4" s="50" t="s">
        <v>396</v>
      </c>
      <c r="B4" s="121">
        <v>46038</v>
      </c>
      <c r="C4" s="50">
        <f>YEAR(B4)</f>
        <v>2026</v>
      </c>
    </row>
    <row r="5" spans="1:3" x14ac:dyDescent="0.35">
      <c r="A5" s="50"/>
      <c r="B5" s="50"/>
      <c r="C5" s="50">
        <f>MONTH(B4)</f>
        <v>1</v>
      </c>
    </row>
    <row r="6" spans="1:3" x14ac:dyDescent="0.35">
      <c r="A6" s="53"/>
      <c r="B6" s="53"/>
      <c r="C6" s="53">
        <f>DAY(B4)</f>
        <v>16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opLeftCell="A87" workbookViewId="0">
      <selection activeCell="A2" sqref="A2:A100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9" customWidth="1"/>
    <col min="4" max="4" width="12.08984375" bestFit="1" customWidth="1"/>
    <col min="5" max="5" width="20.81640625" style="76" customWidth="1"/>
    <col min="6" max="6" width="20.7265625" style="76" customWidth="1"/>
    <col min="7" max="7" width="11.54296875" bestFit="1" customWidth="1"/>
    <col min="8" max="8" width="20.6328125" customWidth="1"/>
    <col min="9" max="9" width="22.08984375" style="43" bestFit="1" customWidth="1"/>
    <col min="11" max="11" width="21.6328125" customWidth="1"/>
    <col min="12" max="12" width="12.453125" bestFit="1" customWidth="1"/>
    <col min="13" max="13" width="20.90625" bestFit="1" customWidth="1"/>
    <col min="14" max="14" width="12.453125" bestFit="1" customWidth="1"/>
  </cols>
  <sheetData>
    <row r="1" spans="1:9" x14ac:dyDescent="0.35">
      <c r="A1" s="119" t="s">
        <v>0</v>
      </c>
      <c r="B1" s="101" t="s">
        <v>1</v>
      </c>
      <c r="C1" s="101" t="s">
        <v>2</v>
      </c>
      <c r="D1" s="101" t="s">
        <v>3</v>
      </c>
      <c r="E1" s="118" t="s">
        <v>347</v>
      </c>
      <c r="F1" s="115" t="s">
        <v>348</v>
      </c>
      <c r="G1" s="101" t="s">
        <v>7</v>
      </c>
      <c r="H1" s="101" t="s">
        <v>349</v>
      </c>
      <c r="I1" s="120" t="s">
        <v>6</v>
      </c>
    </row>
    <row r="2" spans="1:9" x14ac:dyDescent="0.35">
      <c r="A2" s="71" t="s">
        <v>92</v>
      </c>
      <c r="B2" s="71" t="s">
        <v>163</v>
      </c>
      <c r="C2" s="71" t="s">
        <v>168</v>
      </c>
      <c r="D2" s="71" t="s">
        <v>174</v>
      </c>
      <c r="E2" s="75">
        <v>99621</v>
      </c>
      <c r="F2" s="75">
        <v>99621</v>
      </c>
      <c r="G2" s="72" t="s">
        <v>180</v>
      </c>
      <c r="H2" s="50" t="s">
        <v>248</v>
      </c>
      <c r="I2" s="73">
        <v>3</v>
      </c>
    </row>
    <row r="3" spans="1:9" x14ac:dyDescent="0.35">
      <c r="A3" s="71" t="s">
        <v>30</v>
      </c>
      <c r="B3" s="71" t="s">
        <v>162</v>
      </c>
      <c r="C3" s="71" t="s">
        <v>167</v>
      </c>
      <c r="D3" s="71" t="s">
        <v>178</v>
      </c>
      <c r="E3" s="75">
        <v>98922</v>
      </c>
      <c r="F3" s="75">
        <v>98922</v>
      </c>
      <c r="G3" s="72" t="s">
        <v>180</v>
      </c>
      <c r="H3" s="50" t="s">
        <v>201</v>
      </c>
      <c r="I3" s="74">
        <v>4</v>
      </c>
    </row>
    <row r="4" spans="1:9" x14ac:dyDescent="0.35">
      <c r="A4" s="71" t="s">
        <v>158</v>
      </c>
      <c r="B4" s="71" t="s">
        <v>163</v>
      </c>
      <c r="C4" s="71" t="s">
        <v>170</v>
      </c>
      <c r="D4" s="71" t="s">
        <v>174</v>
      </c>
      <c r="E4" s="75">
        <v>98475</v>
      </c>
      <c r="F4" s="75">
        <v>98475</v>
      </c>
      <c r="G4" s="72" t="s">
        <v>180</v>
      </c>
      <c r="H4" s="50" t="s">
        <v>280</v>
      </c>
      <c r="I4" s="74">
        <v>5</v>
      </c>
    </row>
    <row r="5" spans="1:9" x14ac:dyDescent="0.35">
      <c r="A5" s="71" t="s">
        <v>71</v>
      </c>
      <c r="B5" s="71" t="s">
        <v>164</v>
      </c>
      <c r="C5" s="71" t="s">
        <v>169</v>
      </c>
      <c r="D5" s="71" t="s">
        <v>175</v>
      </c>
      <c r="E5" s="75">
        <v>97981</v>
      </c>
      <c r="F5" s="75">
        <v>97981</v>
      </c>
      <c r="G5" s="72" t="s">
        <v>181</v>
      </c>
      <c r="H5" s="50" t="s">
        <v>234</v>
      </c>
      <c r="I5" s="74">
        <v>5</v>
      </c>
    </row>
    <row r="6" spans="1:9" x14ac:dyDescent="0.35">
      <c r="A6" s="71" t="s">
        <v>17</v>
      </c>
      <c r="B6" s="71" t="s">
        <v>160</v>
      </c>
      <c r="C6" s="71" t="s">
        <v>169</v>
      </c>
      <c r="D6" s="71" t="s">
        <v>172</v>
      </c>
      <c r="E6" s="75">
        <v>97881</v>
      </c>
      <c r="F6" s="75">
        <v>97881</v>
      </c>
      <c r="G6" s="72" t="s">
        <v>181</v>
      </c>
      <c r="H6" s="50" t="s">
        <v>189</v>
      </c>
      <c r="I6" s="73">
        <v>3</v>
      </c>
    </row>
    <row r="7" spans="1:9" x14ac:dyDescent="0.35">
      <c r="A7" s="71" t="s">
        <v>75</v>
      </c>
      <c r="B7" s="71" t="s">
        <v>163</v>
      </c>
      <c r="C7" s="71" t="s">
        <v>178</v>
      </c>
      <c r="D7" s="71" t="s">
        <v>176</v>
      </c>
      <c r="E7" s="75">
        <v>96365</v>
      </c>
      <c r="F7" s="75">
        <v>96365</v>
      </c>
      <c r="G7" s="72" t="s">
        <v>180</v>
      </c>
      <c r="H7" s="50" t="s">
        <v>238</v>
      </c>
      <c r="I7" s="74">
        <v>3</v>
      </c>
    </row>
    <row r="8" spans="1:9" x14ac:dyDescent="0.35">
      <c r="A8" s="71" t="s">
        <v>84</v>
      </c>
      <c r="B8" s="71" t="s">
        <v>178</v>
      </c>
      <c r="C8" s="71" t="s">
        <v>168</v>
      </c>
      <c r="D8" s="71" t="s">
        <v>178</v>
      </c>
      <c r="E8" s="75">
        <v>96142</v>
      </c>
      <c r="F8" s="75">
        <v>96142</v>
      </c>
      <c r="G8" s="72" t="s">
        <v>180</v>
      </c>
      <c r="H8" s="50" t="s">
        <v>242</v>
      </c>
      <c r="I8" s="74">
        <v>1</v>
      </c>
    </row>
    <row r="9" spans="1:9" x14ac:dyDescent="0.35">
      <c r="A9" s="71" t="s">
        <v>104</v>
      </c>
      <c r="B9" s="71" t="s">
        <v>160</v>
      </c>
      <c r="C9" s="71" t="s">
        <v>166</v>
      </c>
      <c r="D9" s="71" t="s">
        <v>176</v>
      </c>
      <c r="E9" s="75">
        <v>96101</v>
      </c>
      <c r="F9" s="75">
        <v>96101</v>
      </c>
      <c r="G9" s="72" t="s">
        <v>180</v>
      </c>
      <c r="H9" s="50" t="s">
        <v>254</v>
      </c>
      <c r="I9" s="73">
        <v>3</v>
      </c>
    </row>
    <row r="10" spans="1:9" x14ac:dyDescent="0.35">
      <c r="A10" s="71" t="s">
        <v>90</v>
      </c>
      <c r="B10" s="71" t="s">
        <v>162</v>
      </c>
      <c r="C10" s="71" t="s">
        <v>168</v>
      </c>
      <c r="D10" s="71" t="s">
        <v>173</v>
      </c>
      <c r="E10" s="75">
        <v>95621</v>
      </c>
      <c r="F10" s="75">
        <v>95621</v>
      </c>
      <c r="G10" s="72" t="s">
        <v>181</v>
      </c>
      <c r="H10" s="50" t="s">
        <v>246</v>
      </c>
      <c r="I10" s="74">
        <v>3</v>
      </c>
    </row>
    <row r="11" spans="1:9" x14ac:dyDescent="0.35">
      <c r="A11" s="71" t="s">
        <v>41</v>
      </c>
      <c r="B11" s="71" t="s">
        <v>163</v>
      </c>
      <c r="C11" s="71" t="s">
        <v>167</v>
      </c>
      <c r="D11" s="71" t="s">
        <v>178</v>
      </c>
      <c r="E11" s="75">
        <v>95586</v>
      </c>
      <c r="F11" s="75">
        <v>95586</v>
      </c>
      <c r="G11" s="72" t="s">
        <v>180</v>
      </c>
      <c r="H11" s="50" t="s">
        <v>212</v>
      </c>
      <c r="I11" s="74">
        <v>3</v>
      </c>
    </row>
    <row r="12" spans="1:9" x14ac:dyDescent="0.35">
      <c r="A12" s="71" t="s">
        <v>42</v>
      </c>
      <c r="B12" s="71" t="s">
        <v>164</v>
      </c>
      <c r="C12" s="71" t="s">
        <v>178</v>
      </c>
      <c r="D12" s="71" t="s">
        <v>173</v>
      </c>
      <c r="E12" s="75">
        <v>95367</v>
      </c>
      <c r="F12" s="75">
        <v>95367</v>
      </c>
      <c r="G12" s="72" t="s">
        <v>180</v>
      </c>
      <c r="H12" s="50" t="s">
        <v>213</v>
      </c>
      <c r="I12" s="73">
        <v>3</v>
      </c>
    </row>
    <row r="13" spans="1:9" x14ac:dyDescent="0.35">
      <c r="A13" s="71" t="s">
        <v>127</v>
      </c>
      <c r="B13" s="71" t="s">
        <v>164</v>
      </c>
      <c r="C13" s="71" t="s">
        <v>168</v>
      </c>
      <c r="D13" s="71" t="s">
        <v>174</v>
      </c>
      <c r="E13" s="75">
        <v>95032</v>
      </c>
      <c r="F13" s="75">
        <v>95032</v>
      </c>
      <c r="G13" s="72" t="s">
        <v>180</v>
      </c>
      <c r="H13" s="50" t="s">
        <v>267</v>
      </c>
      <c r="I13" s="74">
        <v>3</v>
      </c>
    </row>
    <row r="14" spans="1:9" x14ac:dyDescent="0.35">
      <c r="A14" s="71" t="s">
        <v>12</v>
      </c>
      <c r="B14" s="71" t="s">
        <v>161</v>
      </c>
      <c r="C14" s="71" t="s">
        <v>168</v>
      </c>
      <c r="D14" s="71" t="s">
        <v>173</v>
      </c>
      <c r="E14" s="75">
        <v>94406</v>
      </c>
      <c r="F14" s="75">
        <v>94406</v>
      </c>
      <c r="G14" s="72" t="s">
        <v>180</v>
      </c>
      <c r="H14" s="50" t="s">
        <v>185</v>
      </c>
      <c r="I14" s="74">
        <v>1</v>
      </c>
    </row>
    <row r="15" spans="1:9" x14ac:dyDescent="0.35">
      <c r="A15" s="71" t="s">
        <v>153</v>
      </c>
      <c r="B15" s="71" t="s">
        <v>159</v>
      </c>
      <c r="C15" s="71" t="s">
        <v>178</v>
      </c>
      <c r="D15" s="71" t="s">
        <v>178</v>
      </c>
      <c r="E15" s="75">
        <v>94148</v>
      </c>
      <c r="F15" s="75">
        <v>94148</v>
      </c>
      <c r="G15" s="72" t="s">
        <v>180</v>
      </c>
      <c r="H15" s="50" t="s">
        <v>278</v>
      </c>
      <c r="I15" s="74">
        <v>2</v>
      </c>
    </row>
    <row r="16" spans="1:9" x14ac:dyDescent="0.35">
      <c r="A16" s="71" t="s">
        <v>38</v>
      </c>
      <c r="B16" s="71" t="s">
        <v>165</v>
      </c>
      <c r="C16" s="71" t="s">
        <v>170</v>
      </c>
      <c r="D16" s="71" t="s">
        <v>175</v>
      </c>
      <c r="E16" s="75">
        <v>92959</v>
      </c>
      <c r="F16" s="75">
        <v>92959</v>
      </c>
      <c r="G16" s="72" t="s">
        <v>180</v>
      </c>
      <c r="H16" s="50" t="s">
        <v>209</v>
      </c>
      <c r="I16" s="74">
        <v>5</v>
      </c>
    </row>
    <row r="17" spans="1:9" x14ac:dyDescent="0.35">
      <c r="A17" s="71" t="s">
        <v>55</v>
      </c>
      <c r="B17" s="71" t="s">
        <v>164</v>
      </c>
      <c r="C17" s="71" t="s">
        <v>169</v>
      </c>
      <c r="D17" s="71" t="s">
        <v>172</v>
      </c>
      <c r="E17" s="75">
        <v>92701</v>
      </c>
      <c r="F17" s="75">
        <v>92701</v>
      </c>
      <c r="G17" s="72" t="s">
        <v>180</v>
      </c>
      <c r="H17" s="50" t="s">
        <v>224</v>
      </c>
      <c r="I17" s="74">
        <v>3</v>
      </c>
    </row>
    <row r="18" spans="1:9" x14ac:dyDescent="0.35">
      <c r="A18" s="71" t="s">
        <v>24</v>
      </c>
      <c r="B18" s="71" t="s">
        <v>178</v>
      </c>
      <c r="C18" s="71" t="s">
        <v>169</v>
      </c>
      <c r="D18" s="71" t="s">
        <v>174</v>
      </c>
      <c r="E18" s="75">
        <v>92443</v>
      </c>
      <c r="F18" s="75">
        <v>92443</v>
      </c>
      <c r="G18" s="72" t="s">
        <v>180</v>
      </c>
      <c r="H18" s="50" t="s">
        <v>195</v>
      </c>
      <c r="I18" s="74">
        <v>3</v>
      </c>
    </row>
    <row r="19" spans="1:9" x14ac:dyDescent="0.35">
      <c r="A19" s="71" t="s">
        <v>40</v>
      </c>
      <c r="B19" s="71" t="s">
        <v>159</v>
      </c>
      <c r="C19" s="71" t="s">
        <v>167</v>
      </c>
      <c r="D19" s="71" t="s">
        <v>172</v>
      </c>
      <c r="E19" s="75">
        <v>92299</v>
      </c>
      <c r="F19" s="75">
        <v>92299</v>
      </c>
      <c r="G19" s="72" t="s">
        <v>180</v>
      </c>
      <c r="H19" s="50" t="s">
        <v>211</v>
      </c>
      <c r="I19" s="74">
        <v>3</v>
      </c>
    </row>
    <row r="20" spans="1:9" x14ac:dyDescent="0.35">
      <c r="A20" s="71" t="s">
        <v>39</v>
      </c>
      <c r="B20" s="71" t="s">
        <v>178</v>
      </c>
      <c r="C20" s="71" t="s">
        <v>170</v>
      </c>
      <c r="D20" s="71" t="s">
        <v>178</v>
      </c>
      <c r="E20" s="75">
        <v>92259</v>
      </c>
      <c r="F20" s="75">
        <v>92259</v>
      </c>
      <c r="G20" s="72" t="s">
        <v>178</v>
      </c>
      <c r="H20" s="50" t="s">
        <v>210</v>
      </c>
      <c r="I20" s="74">
        <v>1</v>
      </c>
    </row>
    <row r="21" spans="1:9" x14ac:dyDescent="0.35">
      <c r="A21" s="71" t="s">
        <v>18</v>
      </c>
      <c r="B21" s="71" t="s">
        <v>164</v>
      </c>
      <c r="C21" s="71" t="s">
        <v>167</v>
      </c>
      <c r="D21" s="71" t="s">
        <v>175</v>
      </c>
      <c r="E21" s="75">
        <v>91846</v>
      </c>
      <c r="F21" s="75">
        <v>91846</v>
      </c>
      <c r="G21" s="72" t="s">
        <v>180</v>
      </c>
      <c r="H21" s="50" t="s">
        <v>190</v>
      </c>
      <c r="I21" s="73">
        <v>3</v>
      </c>
    </row>
    <row r="22" spans="1:9" x14ac:dyDescent="0.35">
      <c r="A22" s="71" t="s">
        <v>152</v>
      </c>
      <c r="B22" s="71" t="s">
        <v>164</v>
      </c>
      <c r="C22" s="71" t="s">
        <v>168</v>
      </c>
      <c r="D22" s="71" t="s">
        <v>175</v>
      </c>
      <c r="E22" s="75">
        <v>91620</v>
      </c>
      <c r="F22" s="75">
        <v>91620</v>
      </c>
      <c r="G22" s="72" t="s">
        <v>180</v>
      </c>
      <c r="H22" s="50" t="s">
        <v>277</v>
      </c>
      <c r="I22" s="73">
        <v>3</v>
      </c>
    </row>
    <row r="23" spans="1:9" x14ac:dyDescent="0.35">
      <c r="A23" s="71" t="s">
        <v>20</v>
      </c>
      <c r="B23" s="71" t="s">
        <v>163</v>
      </c>
      <c r="C23" s="71" t="s">
        <v>169</v>
      </c>
      <c r="D23" s="71" t="s">
        <v>173</v>
      </c>
      <c r="E23" s="75">
        <v>91180</v>
      </c>
      <c r="F23" s="75">
        <v>91180</v>
      </c>
      <c r="G23" s="72" t="s">
        <v>180</v>
      </c>
      <c r="H23" s="50" t="s">
        <v>192</v>
      </c>
      <c r="I23" s="74">
        <v>5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5">
        <v>91005</v>
      </c>
      <c r="F24" s="75">
        <v>91005</v>
      </c>
      <c r="G24" s="72" t="s">
        <v>180</v>
      </c>
      <c r="H24" s="50" t="s">
        <v>204</v>
      </c>
      <c r="I24" s="74">
        <v>1</v>
      </c>
    </row>
    <row r="25" spans="1:9" x14ac:dyDescent="0.35">
      <c r="A25" s="71" t="s">
        <v>25</v>
      </c>
      <c r="B25" s="71" t="s">
        <v>165</v>
      </c>
      <c r="C25" s="71" t="s">
        <v>178</v>
      </c>
      <c r="D25" s="71" t="s">
        <v>172</v>
      </c>
      <c r="E25" s="75">
        <v>90271</v>
      </c>
      <c r="F25" s="75">
        <v>90271</v>
      </c>
      <c r="G25" s="72" t="s">
        <v>180</v>
      </c>
      <c r="H25" s="50" t="s">
        <v>196</v>
      </c>
      <c r="I25" s="73">
        <v>3</v>
      </c>
    </row>
    <row r="26" spans="1:9" x14ac:dyDescent="0.35">
      <c r="A26" s="71" t="s">
        <v>134</v>
      </c>
      <c r="B26" s="71" t="s">
        <v>161</v>
      </c>
      <c r="C26" s="71" t="s">
        <v>166</v>
      </c>
      <c r="D26" s="71" t="s">
        <v>178</v>
      </c>
      <c r="E26" s="75">
        <v>90019</v>
      </c>
      <c r="F26" s="75">
        <v>90019</v>
      </c>
      <c r="G26" s="72" t="s">
        <v>180</v>
      </c>
      <c r="H26" s="50" t="s">
        <v>272</v>
      </c>
      <c r="I26" s="74">
        <v>5</v>
      </c>
    </row>
    <row r="27" spans="1:9" x14ac:dyDescent="0.35">
      <c r="A27" s="71" t="s">
        <v>45</v>
      </c>
      <c r="B27" s="71" t="s">
        <v>160</v>
      </c>
      <c r="C27" s="71" t="s">
        <v>169</v>
      </c>
      <c r="D27" s="71" t="s">
        <v>173</v>
      </c>
      <c r="E27" s="75">
        <v>89781</v>
      </c>
      <c r="F27" s="75">
        <v>89781</v>
      </c>
      <c r="G27" s="72" t="s">
        <v>181</v>
      </c>
      <c r="H27" s="50" t="s">
        <v>215</v>
      </c>
      <c r="I27" s="73">
        <v>3</v>
      </c>
    </row>
    <row r="28" spans="1:9" x14ac:dyDescent="0.35">
      <c r="A28" s="71" t="s">
        <v>106</v>
      </c>
      <c r="B28" s="71" t="s">
        <v>163</v>
      </c>
      <c r="C28" s="71" t="s">
        <v>167</v>
      </c>
      <c r="D28" s="71" t="s">
        <v>172</v>
      </c>
      <c r="E28" s="75">
        <v>89333</v>
      </c>
      <c r="F28" s="75">
        <v>89333</v>
      </c>
      <c r="G28" s="72" t="s">
        <v>180</v>
      </c>
      <c r="H28" s="50" t="s">
        <v>256</v>
      </c>
      <c r="I28" s="74">
        <v>1</v>
      </c>
    </row>
    <row r="29" spans="1:9" x14ac:dyDescent="0.35">
      <c r="A29" s="71" t="s">
        <v>118</v>
      </c>
      <c r="B29" s="71" t="s">
        <v>162</v>
      </c>
      <c r="C29" s="71" t="s">
        <v>178</v>
      </c>
      <c r="D29" s="71" t="s">
        <v>174</v>
      </c>
      <c r="E29" s="75">
        <v>88850</v>
      </c>
      <c r="F29" s="75">
        <v>88850</v>
      </c>
      <c r="G29" s="72" t="s">
        <v>181</v>
      </c>
      <c r="H29" s="50" t="s">
        <v>263</v>
      </c>
      <c r="I29" s="74">
        <v>1</v>
      </c>
    </row>
    <row r="30" spans="1:9" x14ac:dyDescent="0.35">
      <c r="A30" s="71" t="s">
        <v>80</v>
      </c>
      <c r="B30" s="71" t="s">
        <v>159</v>
      </c>
      <c r="C30" s="71" t="s">
        <v>170</v>
      </c>
      <c r="D30" s="71" t="s">
        <v>173</v>
      </c>
      <c r="E30" s="75">
        <v>85065</v>
      </c>
      <c r="F30" s="75">
        <v>85065</v>
      </c>
      <c r="G30" s="72" t="s">
        <v>180</v>
      </c>
      <c r="H30" s="50" t="s">
        <v>241</v>
      </c>
      <c r="I30" s="74">
        <v>3</v>
      </c>
    </row>
    <row r="31" spans="1:9" x14ac:dyDescent="0.35">
      <c r="A31" s="71" t="s">
        <v>146</v>
      </c>
      <c r="B31" s="71" t="s">
        <v>164</v>
      </c>
      <c r="C31" s="71" t="s">
        <v>167</v>
      </c>
      <c r="D31" s="71" t="s">
        <v>172</v>
      </c>
      <c r="E31" s="75">
        <v>84968</v>
      </c>
      <c r="F31" s="75">
        <v>84968</v>
      </c>
      <c r="G31" s="72" t="s">
        <v>180</v>
      </c>
      <c r="H31" s="50" t="s">
        <v>276</v>
      </c>
      <c r="I31" s="73">
        <v>3</v>
      </c>
    </row>
    <row r="32" spans="1:9" x14ac:dyDescent="0.35">
      <c r="A32" s="71" t="s">
        <v>67</v>
      </c>
      <c r="B32" s="71" t="s">
        <v>163</v>
      </c>
      <c r="C32" s="71" t="s">
        <v>170</v>
      </c>
      <c r="D32" s="71" t="s">
        <v>178</v>
      </c>
      <c r="E32" s="75">
        <v>84924</v>
      </c>
      <c r="F32" s="75">
        <v>84924</v>
      </c>
      <c r="G32" s="72" t="s">
        <v>180</v>
      </c>
      <c r="H32" s="50" t="s">
        <v>232</v>
      </c>
      <c r="I32" s="74">
        <v>5</v>
      </c>
    </row>
    <row r="33" spans="1:9" x14ac:dyDescent="0.35">
      <c r="A33" s="71" t="s">
        <v>73</v>
      </c>
      <c r="B33" s="71" t="s">
        <v>161</v>
      </c>
      <c r="C33" s="71" t="s">
        <v>169</v>
      </c>
      <c r="D33" s="71" t="s">
        <v>174</v>
      </c>
      <c r="E33" s="75">
        <v>84737</v>
      </c>
      <c r="F33" s="75">
        <v>84737</v>
      </c>
      <c r="G33" s="72" t="s">
        <v>180</v>
      </c>
      <c r="H33" s="50" t="s">
        <v>236</v>
      </c>
      <c r="I33" s="74">
        <v>1</v>
      </c>
    </row>
    <row r="34" spans="1:9" x14ac:dyDescent="0.35">
      <c r="A34" s="71" t="s">
        <v>53</v>
      </c>
      <c r="B34" s="71" t="s">
        <v>164</v>
      </c>
      <c r="C34" s="71" t="s">
        <v>166</v>
      </c>
      <c r="D34" s="71" t="s">
        <v>178</v>
      </c>
      <c r="E34" s="75">
        <v>81610</v>
      </c>
      <c r="F34" s="75">
        <v>81610</v>
      </c>
      <c r="G34" s="72" t="s">
        <v>180</v>
      </c>
      <c r="H34" s="50" t="s">
        <v>223</v>
      </c>
      <c r="I34" s="74">
        <v>1</v>
      </c>
    </row>
    <row r="35" spans="1:9" x14ac:dyDescent="0.35">
      <c r="A35" s="71" t="s">
        <v>43</v>
      </c>
      <c r="B35" s="71" t="s">
        <v>161</v>
      </c>
      <c r="C35" s="71" t="s">
        <v>168</v>
      </c>
      <c r="D35" s="71" t="s">
        <v>176</v>
      </c>
      <c r="E35" s="75">
        <v>79549</v>
      </c>
      <c r="F35" s="75">
        <v>79549</v>
      </c>
      <c r="G35" s="72" t="s">
        <v>180</v>
      </c>
      <c r="H35" s="50" t="s">
        <v>214</v>
      </c>
      <c r="I35" s="74">
        <v>3</v>
      </c>
    </row>
    <row r="36" spans="1:9" x14ac:dyDescent="0.35">
      <c r="A36" s="71" t="s">
        <v>14</v>
      </c>
      <c r="B36" s="71" t="s">
        <v>160</v>
      </c>
      <c r="C36" s="71" t="s">
        <v>169</v>
      </c>
      <c r="D36" s="71" t="s">
        <v>174</v>
      </c>
      <c r="E36" s="75">
        <v>78421</v>
      </c>
      <c r="F36" s="75">
        <v>78421</v>
      </c>
      <c r="G36" s="72" t="s">
        <v>181</v>
      </c>
      <c r="H36" s="50" t="s">
        <v>187</v>
      </c>
      <c r="I36" s="74">
        <v>2</v>
      </c>
    </row>
    <row r="37" spans="1:9" x14ac:dyDescent="0.35">
      <c r="A37" s="71" t="s">
        <v>87</v>
      </c>
      <c r="B37" s="71" t="s">
        <v>163</v>
      </c>
      <c r="C37" s="71" t="s">
        <v>178</v>
      </c>
      <c r="D37" s="71" t="s">
        <v>175</v>
      </c>
      <c r="E37" s="75">
        <v>78245</v>
      </c>
      <c r="F37" s="75">
        <v>78245</v>
      </c>
      <c r="G37" s="72" t="s">
        <v>180</v>
      </c>
      <c r="H37" s="50" t="s">
        <v>244</v>
      </c>
      <c r="I37" s="74">
        <v>2</v>
      </c>
    </row>
    <row r="38" spans="1:9" x14ac:dyDescent="0.35">
      <c r="A38" s="71" t="s">
        <v>78</v>
      </c>
      <c r="B38" s="71" t="s">
        <v>165</v>
      </c>
      <c r="C38" s="71" t="s">
        <v>166</v>
      </c>
      <c r="D38" s="71" t="s">
        <v>174</v>
      </c>
      <c r="E38" s="75">
        <v>77096</v>
      </c>
      <c r="F38" s="75">
        <v>77096</v>
      </c>
      <c r="G38" s="72" t="s">
        <v>180</v>
      </c>
      <c r="H38" s="50" t="s">
        <v>240</v>
      </c>
      <c r="I38" s="74">
        <v>1</v>
      </c>
    </row>
    <row r="39" spans="1:9" x14ac:dyDescent="0.35">
      <c r="A39" s="71" t="s">
        <v>35</v>
      </c>
      <c r="B39" s="71" t="s">
        <v>159</v>
      </c>
      <c r="C39" s="71" t="s">
        <v>168</v>
      </c>
      <c r="D39" s="71" t="s">
        <v>172</v>
      </c>
      <c r="E39" s="75">
        <v>76518</v>
      </c>
      <c r="F39" s="75">
        <v>76518</v>
      </c>
      <c r="G39" s="72" t="s">
        <v>181</v>
      </c>
      <c r="H39" s="50" t="s">
        <v>206</v>
      </c>
      <c r="I39" s="74">
        <v>2</v>
      </c>
    </row>
    <row r="40" spans="1:9" x14ac:dyDescent="0.35">
      <c r="A40" s="71" t="s">
        <v>102</v>
      </c>
      <c r="B40" s="71" t="s">
        <v>160</v>
      </c>
      <c r="C40" s="71" t="s">
        <v>178</v>
      </c>
      <c r="D40" s="71" t="s">
        <v>173</v>
      </c>
      <c r="E40" s="75">
        <v>76238</v>
      </c>
      <c r="F40" s="75">
        <v>76238</v>
      </c>
      <c r="G40" s="72" t="s">
        <v>180</v>
      </c>
      <c r="H40" s="50" t="s">
        <v>252</v>
      </c>
      <c r="I40" s="74">
        <v>4</v>
      </c>
    </row>
    <row r="41" spans="1:9" x14ac:dyDescent="0.35">
      <c r="A41" s="71" t="s">
        <v>63</v>
      </c>
      <c r="B41" s="71" t="s">
        <v>165</v>
      </c>
      <c r="C41" s="71" t="s">
        <v>170</v>
      </c>
      <c r="D41" s="71" t="s">
        <v>175</v>
      </c>
      <c r="E41" s="75">
        <v>75633</v>
      </c>
      <c r="F41" s="75">
        <v>75633</v>
      </c>
      <c r="G41" s="72" t="s">
        <v>180</v>
      </c>
      <c r="H41" s="50" t="s">
        <v>229</v>
      </c>
      <c r="I41" s="74">
        <v>5</v>
      </c>
    </row>
    <row r="42" spans="1:9" x14ac:dyDescent="0.35">
      <c r="A42" s="71" t="s">
        <v>64</v>
      </c>
      <c r="B42" s="71" t="s">
        <v>164</v>
      </c>
      <c r="C42" s="71" t="s">
        <v>178</v>
      </c>
      <c r="D42" s="71" t="s">
        <v>173</v>
      </c>
      <c r="E42" s="75">
        <v>74815</v>
      </c>
      <c r="F42" s="75">
        <v>74815</v>
      </c>
      <c r="G42" s="72" t="s">
        <v>181</v>
      </c>
      <c r="H42" s="50" t="s">
        <v>230</v>
      </c>
      <c r="I42" s="74">
        <v>5</v>
      </c>
    </row>
    <row r="43" spans="1:9" x14ac:dyDescent="0.35">
      <c r="A43" s="71" t="s">
        <v>27</v>
      </c>
      <c r="B43" s="71" t="s">
        <v>160</v>
      </c>
      <c r="C43" s="71" t="s">
        <v>166</v>
      </c>
      <c r="D43" s="71" t="s">
        <v>175</v>
      </c>
      <c r="E43" s="75">
        <v>73602</v>
      </c>
      <c r="F43" s="75">
        <v>73602</v>
      </c>
      <c r="G43" s="72" t="s">
        <v>180</v>
      </c>
      <c r="H43" s="50" t="s">
        <v>198</v>
      </c>
      <c r="I43" s="73">
        <v>3</v>
      </c>
    </row>
    <row r="44" spans="1:9" x14ac:dyDescent="0.35">
      <c r="A44" s="71" t="s">
        <v>126</v>
      </c>
      <c r="B44" s="71" t="s">
        <v>165</v>
      </c>
      <c r="C44" s="71" t="s">
        <v>170</v>
      </c>
      <c r="D44" s="71" t="s">
        <v>178</v>
      </c>
      <c r="E44" s="75">
        <v>73483</v>
      </c>
      <c r="F44" s="75">
        <v>73483</v>
      </c>
      <c r="G44" s="72" t="s">
        <v>180</v>
      </c>
      <c r="H44" s="50" t="s">
        <v>266</v>
      </c>
      <c r="I44" s="74">
        <v>1</v>
      </c>
    </row>
    <row r="45" spans="1:9" x14ac:dyDescent="0.35">
      <c r="A45" s="71" t="s">
        <v>105</v>
      </c>
      <c r="B45" s="71" t="s">
        <v>162</v>
      </c>
      <c r="C45" s="71" t="s">
        <v>166</v>
      </c>
      <c r="D45" s="71" t="s">
        <v>173</v>
      </c>
      <c r="E45" s="75">
        <v>72939</v>
      </c>
      <c r="F45" s="75">
        <v>72939</v>
      </c>
      <c r="G45" s="72" t="s">
        <v>180</v>
      </c>
      <c r="H45" s="50" t="s">
        <v>255</v>
      </c>
      <c r="I45" s="74">
        <v>3</v>
      </c>
    </row>
    <row r="46" spans="1:9" x14ac:dyDescent="0.35">
      <c r="A46" s="71" t="s">
        <v>135</v>
      </c>
      <c r="B46" s="71" t="s">
        <v>165</v>
      </c>
      <c r="C46" s="71" t="s">
        <v>178</v>
      </c>
      <c r="D46" s="71" t="s">
        <v>172</v>
      </c>
      <c r="E46" s="75">
        <v>71494</v>
      </c>
      <c r="F46" s="75">
        <v>71494</v>
      </c>
      <c r="G46" s="72" t="s">
        <v>180</v>
      </c>
      <c r="H46" s="50" t="s">
        <v>273</v>
      </c>
      <c r="I46" s="74">
        <v>3</v>
      </c>
    </row>
    <row r="47" spans="1:9" x14ac:dyDescent="0.35">
      <c r="A47" s="71" t="s">
        <v>107</v>
      </c>
      <c r="B47" s="71" t="s">
        <v>165</v>
      </c>
      <c r="C47" s="71" t="s">
        <v>169</v>
      </c>
      <c r="D47" s="71" t="s">
        <v>176</v>
      </c>
      <c r="E47" s="75">
        <v>70470</v>
      </c>
      <c r="F47" s="75">
        <v>70470</v>
      </c>
      <c r="G47" s="72" t="s">
        <v>180</v>
      </c>
      <c r="H47" s="50" t="s">
        <v>257</v>
      </c>
      <c r="I47" s="73">
        <v>3</v>
      </c>
    </row>
    <row r="48" spans="1:9" x14ac:dyDescent="0.35">
      <c r="A48" s="71" t="s">
        <v>108</v>
      </c>
      <c r="B48" s="71" t="s">
        <v>159</v>
      </c>
      <c r="C48" s="71" t="s">
        <v>170</v>
      </c>
      <c r="D48" s="71" t="s">
        <v>173</v>
      </c>
      <c r="E48" s="75">
        <v>70096</v>
      </c>
      <c r="F48" s="75">
        <v>70096</v>
      </c>
      <c r="G48" s="72" t="s">
        <v>180</v>
      </c>
      <c r="H48" s="50" t="s">
        <v>258</v>
      </c>
      <c r="I48" s="74">
        <v>4</v>
      </c>
    </row>
    <row r="49" spans="1:9" x14ac:dyDescent="0.35">
      <c r="A49" s="71" t="s">
        <v>86</v>
      </c>
      <c r="B49" s="71" t="s">
        <v>162</v>
      </c>
      <c r="C49" s="71" t="s">
        <v>178</v>
      </c>
      <c r="D49" s="71" t="s">
        <v>175</v>
      </c>
      <c r="E49" s="75">
        <v>69166</v>
      </c>
      <c r="F49" s="75">
        <v>69166</v>
      </c>
      <c r="G49" s="72" t="s">
        <v>181</v>
      </c>
      <c r="H49" s="50" t="s">
        <v>243</v>
      </c>
      <c r="I49" s="74">
        <v>1</v>
      </c>
    </row>
    <row r="50" spans="1:9" x14ac:dyDescent="0.35">
      <c r="A50" s="71" t="s">
        <v>28</v>
      </c>
      <c r="B50" s="71" t="s">
        <v>159</v>
      </c>
      <c r="C50" s="71" t="s">
        <v>178</v>
      </c>
      <c r="D50" s="71" t="s">
        <v>174</v>
      </c>
      <c r="E50" s="75">
        <v>67531</v>
      </c>
      <c r="F50" s="75">
        <v>67531</v>
      </c>
      <c r="G50" s="72" t="s">
        <v>181</v>
      </c>
      <c r="H50" s="50" t="s">
        <v>199</v>
      </c>
      <c r="I50" s="74">
        <v>5</v>
      </c>
    </row>
    <row r="51" spans="1:9" x14ac:dyDescent="0.35">
      <c r="A51" s="71" t="s">
        <v>29</v>
      </c>
      <c r="B51" s="71" t="s">
        <v>162</v>
      </c>
      <c r="C51" s="71" t="s">
        <v>167</v>
      </c>
      <c r="D51" s="71" t="s">
        <v>173</v>
      </c>
      <c r="E51" s="75">
        <v>66982.875</v>
      </c>
      <c r="F51" s="75">
        <v>69408.5625</v>
      </c>
      <c r="G51" s="72" t="s">
        <v>180</v>
      </c>
      <c r="H51" s="50" t="s">
        <v>200</v>
      </c>
      <c r="I51" s="74">
        <v>2</v>
      </c>
    </row>
    <row r="52" spans="1:9" x14ac:dyDescent="0.35">
      <c r="A52" s="71" t="s">
        <v>117</v>
      </c>
      <c r="B52" s="71" t="s">
        <v>163</v>
      </c>
      <c r="C52" s="71" t="s">
        <v>167</v>
      </c>
      <c r="D52" s="71" t="s">
        <v>178</v>
      </c>
      <c r="E52" s="75">
        <v>66761</v>
      </c>
      <c r="F52" s="75">
        <v>66761</v>
      </c>
      <c r="G52" s="72" t="s">
        <v>180</v>
      </c>
      <c r="H52" s="50" t="s">
        <v>262</v>
      </c>
      <c r="I52" s="74">
        <v>1</v>
      </c>
    </row>
    <row r="53" spans="1:9" x14ac:dyDescent="0.35">
      <c r="A53" s="71" t="s">
        <v>129</v>
      </c>
      <c r="B53" s="71" t="s">
        <v>178</v>
      </c>
      <c r="C53" s="71" t="s">
        <v>169</v>
      </c>
      <c r="D53" s="71" t="s">
        <v>173</v>
      </c>
      <c r="E53" s="75">
        <v>66636.333333333328</v>
      </c>
      <c r="F53" s="75">
        <v>69408.5625</v>
      </c>
      <c r="G53" s="72" t="s">
        <v>178</v>
      </c>
      <c r="H53" s="50" t="s">
        <v>268</v>
      </c>
      <c r="I53" s="74">
        <v>5</v>
      </c>
    </row>
    <row r="54" spans="1:9" x14ac:dyDescent="0.35">
      <c r="A54" s="71" t="s">
        <v>109</v>
      </c>
      <c r="B54" s="71" t="s">
        <v>165</v>
      </c>
      <c r="C54" s="71" t="s">
        <v>170</v>
      </c>
      <c r="D54" s="71" t="s">
        <v>178</v>
      </c>
      <c r="E54" s="75">
        <v>66344</v>
      </c>
      <c r="F54" s="75">
        <v>67279.75</v>
      </c>
      <c r="G54" s="72" t="s">
        <v>180</v>
      </c>
      <c r="H54" s="50" t="s">
        <v>259</v>
      </c>
      <c r="I54" s="74">
        <v>2</v>
      </c>
    </row>
    <row r="55" spans="1:9" x14ac:dyDescent="0.35">
      <c r="A55" s="71" t="s">
        <v>69</v>
      </c>
      <c r="B55" s="71" t="s">
        <v>178</v>
      </c>
      <c r="C55" s="71" t="s">
        <v>170</v>
      </c>
      <c r="D55" s="71" t="s">
        <v>172</v>
      </c>
      <c r="E55" s="75">
        <v>66344</v>
      </c>
      <c r="F55" s="75">
        <v>71793.71428571429</v>
      </c>
      <c r="G55" s="72" t="s">
        <v>178</v>
      </c>
      <c r="H55" s="50" t="s">
        <v>233</v>
      </c>
      <c r="I55" s="74">
        <v>5</v>
      </c>
    </row>
    <row r="56" spans="1:9" x14ac:dyDescent="0.35">
      <c r="A56" s="71" t="s">
        <v>88</v>
      </c>
      <c r="B56" s="71" t="s">
        <v>164</v>
      </c>
      <c r="C56" s="71" t="s">
        <v>168</v>
      </c>
      <c r="D56" s="71" t="s">
        <v>173</v>
      </c>
      <c r="E56" s="75">
        <v>66079</v>
      </c>
      <c r="F56" s="75">
        <v>66079</v>
      </c>
      <c r="G56" s="72" t="s">
        <v>180</v>
      </c>
      <c r="H56" s="50" t="s">
        <v>245</v>
      </c>
      <c r="I56" s="74">
        <v>2</v>
      </c>
    </row>
    <row r="57" spans="1:9" x14ac:dyDescent="0.35">
      <c r="A57" s="71" t="s">
        <v>49</v>
      </c>
      <c r="B57" s="71" t="s">
        <v>165</v>
      </c>
      <c r="C57" s="71" t="s">
        <v>166</v>
      </c>
      <c r="D57" s="71" t="s">
        <v>175</v>
      </c>
      <c r="E57" s="75">
        <v>66008.307692307688</v>
      </c>
      <c r="F57" s="75">
        <v>67008.2</v>
      </c>
      <c r="G57" s="72" t="s">
        <v>181</v>
      </c>
      <c r="H57" s="50" t="s">
        <v>219</v>
      </c>
      <c r="I57" s="74">
        <v>4</v>
      </c>
    </row>
    <row r="58" spans="1:9" x14ac:dyDescent="0.35">
      <c r="A58" s="71" t="s">
        <v>9</v>
      </c>
      <c r="B58" s="71" t="s">
        <v>178</v>
      </c>
      <c r="C58" s="71" t="s">
        <v>166</v>
      </c>
      <c r="D58" s="71" t="s">
        <v>178</v>
      </c>
      <c r="E58" s="75">
        <v>66008.307692307688</v>
      </c>
      <c r="F58" s="75">
        <v>69175.76470588235</v>
      </c>
      <c r="G58" s="72" t="s">
        <v>178</v>
      </c>
      <c r="H58" s="50" t="s">
        <v>178</v>
      </c>
      <c r="I58" s="74">
        <v>1</v>
      </c>
    </row>
    <row r="59" spans="1:9" x14ac:dyDescent="0.35">
      <c r="A59" s="71" t="s">
        <v>156</v>
      </c>
      <c r="B59" s="71" t="s">
        <v>165</v>
      </c>
      <c r="C59" s="71" t="s">
        <v>168</v>
      </c>
      <c r="D59" s="71" t="s">
        <v>176</v>
      </c>
      <c r="E59" s="75">
        <v>65270</v>
      </c>
      <c r="F59" s="75">
        <v>65270</v>
      </c>
      <c r="G59" s="72" t="s">
        <v>180</v>
      </c>
      <c r="H59" s="50" t="s">
        <v>279</v>
      </c>
      <c r="I59" s="74">
        <v>1</v>
      </c>
    </row>
    <row r="60" spans="1:9" x14ac:dyDescent="0.35">
      <c r="A60" s="71" t="s">
        <v>51</v>
      </c>
      <c r="B60" s="71" t="s">
        <v>165</v>
      </c>
      <c r="C60" s="71" t="s">
        <v>178</v>
      </c>
      <c r="D60" s="71" t="s">
        <v>176</v>
      </c>
      <c r="E60" s="75">
        <v>64913</v>
      </c>
      <c r="F60" s="75">
        <v>64913</v>
      </c>
      <c r="G60" s="72" t="s">
        <v>181</v>
      </c>
      <c r="H60" s="50" t="s">
        <v>221</v>
      </c>
      <c r="I60" s="74">
        <v>1</v>
      </c>
    </row>
    <row r="61" spans="1:9" x14ac:dyDescent="0.35">
      <c r="A61" s="71" t="s">
        <v>46</v>
      </c>
      <c r="B61" s="71" t="s">
        <v>160</v>
      </c>
      <c r="C61" s="71" t="s">
        <v>167</v>
      </c>
      <c r="D61" s="71" t="s">
        <v>178</v>
      </c>
      <c r="E61" s="75">
        <v>64796</v>
      </c>
      <c r="F61" s="75">
        <v>64796</v>
      </c>
      <c r="G61" s="72" t="s">
        <v>180</v>
      </c>
      <c r="H61" s="50" t="s">
        <v>216</v>
      </c>
      <c r="I61" s="73">
        <v>3</v>
      </c>
    </row>
    <row r="62" spans="1:9" x14ac:dyDescent="0.35">
      <c r="A62" s="71" t="s">
        <v>19</v>
      </c>
      <c r="B62" s="71" t="s">
        <v>163</v>
      </c>
      <c r="C62" s="71" t="s">
        <v>166</v>
      </c>
      <c r="D62" s="71" t="s">
        <v>175</v>
      </c>
      <c r="E62" s="75">
        <v>64247</v>
      </c>
      <c r="F62" s="75">
        <v>64247</v>
      </c>
      <c r="G62" s="72" t="s">
        <v>181</v>
      </c>
      <c r="H62" s="50" t="s">
        <v>191</v>
      </c>
      <c r="I62" s="74">
        <v>1</v>
      </c>
    </row>
    <row r="63" spans="1:9" x14ac:dyDescent="0.35">
      <c r="A63" s="71" t="s">
        <v>13</v>
      </c>
      <c r="B63" s="71" t="s">
        <v>162</v>
      </c>
      <c r="C63" s="71" t="s">
        <v>168</v>
      </c>
      <c r="D63" s="71" t="s">
        <v>172</v>
      </c>
      <c r="E63" s="75">
        <v>64120</v>
      </c>
      <c r="F63" s="75">
        <v>64120</v>
      </c>
      <c r="G63" s="72" t="s">
        <v>180</v>
      </c>
      <c r="H63" s="50" t="s">
        <v>186</v>
      </c>
      <c r="I63" s="74">
        <v>1</v>
      </c>
    </row>
    <row r="64" spans="1:9" x14ac:dyDescent="0.35">
      <c r="A64" s="71" t="s">
        <v>97</v>
      </c>
      <c r="B64" s="71" t="s">
        <v>164</v>
      </c>
      <c r="C64" s="71" t="s">
        <v>169</v>
      </c>
      <c r="D64" s="71" t="s">
        <v>178</v>
      </c>
      <c r="E64" s="75">
        <v>63434</v>
      </c>
      <c r="F64" s="75">
        <v>63434</v>
      </c>
      <c r="G64" s="72" t="s">
        <v>180</v>
      </c>
      <c r="H64" s="50" t="s">
        <v>251</v>
      </c>
      <c r="I64" s="74">
        <v>3</v>
      </c>
    </row>
    <row r="65" spans="1:9" x14ac:dyDescent="0.35">
      <c r="A65" s="71" t="s">
        <v>11</v>
      </c>
      <c r="B65" s="71" t="s">
        <v>160</v>
      </c>
      <c r="C65" s="71" t="s">
        <v>166</v>
      </c>
      <c r="D65" s="71" t="s">
        <v>172</v>
      </c>
      <c r="E65" s="75">
        <v>63184</v>
      </c>
      <c r="F65" s="75">
        <v>63184</v>
      </c>
      <c r="G65" s="72" t="s">
        <v>180</v>
      </c>
      <c r="H65" s="50" t="s">
        <v>184</v>
      </c>
      <c r="I65" s="74">
        <v>2</v>
      </c>
    </row>
    <row r="66" spans="1:9" x14ac:dyDescent="0.35">
      <c r="A66" s="71" t="s">
        <v>22</v>
      </c>
      <c r="B66" s="71" t="s">
        <v>163</v>
      </c>
      <c r="C66" s="71" t="s">
        <v>178</v>
      </c>
      <c r="D66" s="71" t="s">
        <v>174</v>
      </c>
      <c r="E66" s="75">
        <v>62158</v>
      </c>
      <c r="F66" s="75">
        <v>62158</v>
      </c>
      <c r="G66" s="72" t="s">
        <v>180</v>
      </c>
      <c r="H66" s="50" t="s">
        <v>193</v>
      </c>
      <c r="I66" s="74">
        <v>4</v>
      </c>
    </row>
    <row r="67" spans="1:9" x14ac:dyDescent="0.35">
      <c r="A67" s="71" t="s">
        <v>76</v>
      </c>
      <c r="B67" s="71" t="s">
        <v>160</v>
      </c>
      <c r="C67" s="71" t="s">
        <v>168</v>
      </c>
      <c r="D67" s="71" t="s">
        <v>174</v>
      </c>
      <c r="E67" s="75">
        <v>61942</v>
      </c>
      <c r="F67" s="75">
        <v>61942</v>
      </c>
      <c r="G67" s="72" t="s">
        <v>181</v>
      </c>
      <c r="H67" s="50" t="s">
        <v>239</v>
      </c>
      <c r="I67" s="74">
        <v>3</v>
      </c>
    </row>
    <row r="68" spans="1:9" x14ac:dyDescent="0.35">
      <c r="A68" s="71" t="s">
        <v>133</v>
      </c>
      <c r="B68" s="71" t="s">
        <v>161</v>
      </c>
      <c r="C68" s="71" t="s">
        <v>169</v>
      </c>
      <c r="D68" s="71" t="s">
        <v>178</v>
      </c>
      <c r="E68" s="75">
        <v>60034</v>
      </c>
      <c r="F68" s="75">
        <v>60034</v>
      </c>
      <c r="G68" s="72" t="s">
        <v>181</v>
      </c>
      <c r="H68" s="50" t="s">
        <v>271</v>
      </c>
      <c r="I68" s="74">
        <v>1</v>
      </c>
    </row>
    <row r="69" spans="1:9" x14ac:dyDescent="0.35">
      <c r="A69" s="71" t="s">
        <v>65</v>
      </c>
      <c r="B69" s="71" t="s">
        <v>161</v>
      </c>
      <c r="C69" s="71" t="s">
        <v>168</v>
      </c>
      <c r="D69" s="71" t="s">
        <v>176</v>
      </c>
      <c r="E69" s="75">
        <v>60011</v>
      </c>
      <c r="F69" s="75">
        <v>60011</v>
      </c>
      <c r="G69" s="72" t="s">
        <v>180</v>
      </c>
      <c r="H69" s="50" t="s">
        <v>231</v>
      </c>
      <c r="I69" s="74">
        <v>1</v>
      </c>
    </row>
    <row r="70" spans="1:9" x14ac:dyDescent="0.35">
      <c r="A70" s="71" t="s">
        <v>23</v>
      </c>
      <c r="B70" s="71" t="s">
        <v>162</v>
      </c>
      <c r="C70" s="71" t="s">
        <v>167</v>
      </c>
      <c r="D70" s="71" t="s">
        <v>178</v>
      </c>
      <c r="E70" s="75">
        <v>59894</v>
      </c>
      <c r="F70" s="75">
        <v>59894</v>
      </c>
      <c r="G70" s="72" t="s">
        <v>180</v>
      </c>
      <c r="H70" s="50" t="s">
        <v>194</v>
      </c>
      <c r="I70" s="74">
        <v>2</v>
      </c>
    </row>
    <row r="71" spans="1:9" x14ac:dyDescent="0.35">
      <c r="A71" s="71" t="s">
        <v>56</v>
      </c>
      <c r="B71" s="71" t="s">
        <v>164</v>
      </c>
      <c r="C71" s="71" t="s">
        <v>167</v>
      </c>
      <c r="D71" s="71" t="s">
        <v>174</v>
      </c>
      <c r="E71" s="75">
        <v>58245</v>
      </c>
      <c r="F71" s="75">
        <v>58245</v>
      </c>
      <c r="G71" s="72" t="s">
        <v>180</v>
      </c>
      <c r="H71" s="50" t="s">
        <v>225</v>
      </c>
      <c r="I71" s="74">
        <v>4</v>
      </c>
    </row>
    <row r="72" spans="1:9" x14ac:dyDescent="0.35">
      <c r="A72" s="71" t="s">
        <v>10</v>
      </c>
      <c r="B72" s="71" t="s">
        <v>159</v>
      </c>
      <c r="C72" s="71" t="s">
        <v>167</v>
      </c>
      <c r="D72" s="71" t="s">
        <v>172</v>
      </c>
      <c r="E72" s="75">
        <v>54255</v>
      </c>
      <c r="F72" s="75">
        <v>54255</v>
      </c>
      <c r="G72" s="72" t="s">
        <v>180</v>
      </c>
      <c r="H72" s="50" t="s">
        <v>183</v>
      </c>
      <c r="I72" s="74">
        <v>1</v>
      </c>
    </row>
    <row r="73" spans="1:9" x14ac:dyDescent="0.35">
      <c r="A73" s="71" t="s">
        <v>34</v>
      </c>
      <c r="B73" s="71" t="s">
        <v>164</v>
      </c>
      <c r="C73" s="71" t="s">
        <v>178</v>
      </c>
      <c r="D73" s="71" t="s">
        <v>178</v>
      </c>
      <c r="E73" s="75">
        <v>52272</v>
      </c>
      <c r="F73" s="75">
        <v>52272</v>
      </c>
      <c r="G73" s="72" t="s">
        <v>180</v>
      </c>
      <c r="H73" s="50" t="s">
        <v>205</v>
      </c>
      <c r="I73" s="74">
        <v>3</v>
      </c>
    </row>
    <row r="74" spans="1:9" x14ac:dyDescent="0.35">
      <c r="A74" s="71" t="s">
        <v>47</v>
      </c>
      <c r="B74" s="71" t="s">
        <v>161</v>
      </c>
      <c r="C74" s="71" t="s">
        <v>170</v>
      </c>
      <c r="D74" s="71" t="s">
        <v>175</v>
      </c>
      <c r="E74" s="75">
        <v>52093</v>
      </c>
      <c r="F74" s="75">
        <v>52093</v>
      </c>
      <c r="G74" s="72" t="s">
        <v>180</v>
      </c>
      <c r="H74" s="50" t="s">
        <v>217</v>
      </c>
      <c r="I74" s="74">
        <v>5</v>
      </c>
    </row>
    <row r="75" spans="1:9" x14ac:dyDescent="0.35">
      <c r="A75" s="71" t="s">
        <v>131</v>
      </c>
      <c r="B75" s="71" t="s">
        <v>165</v>
      </c>
      <c r="C75" s="71" t="s">
        <v>168</v>
      </c>
      <c r="D75" s="71" t="s">
        <v>172</v>
      </c>
      <c r="E75" s="75">
        <v>52036</v>
      </c>
      <c r="F75" s="75">
        <v>52036</v>
      </c>
      <c r="G75" s="72" t="s">
        <v>180</v>
      </c>
      <c r="H75" s="50" t="s">
        <v>270</v>
      </c>
      <c r="I75" s="74">
        <v>3</v>
      </c>
    </row>
    <row r="76" spans="1:9" x14ac:dyDescent="0.35">
      <c r="A76" s="71" t="s">
        <v>37</v>
      </c>
      <c r="B76" s="71" t="s">
        <v>161</v>
      </c>
      <c r="C76" s="71" t="s">
        <v>167</v>
      </c>
      <c r="D76" s="71" t="s">
        <v>175</v>
      </c>
      <c r="E76" s="75">
        <v>49282</v>
      </c>
      <c r="F76" s="75">
        <v>49282</v>
      </c>
      <c r="G76" s="72" t="s">
        <v>181</v>
      </c>
      <c r="H76" s="50" t="s">
        <v>208</v>
      </c>
      <c r="I76" s="74">
        <v>2</v>
      </c>
    </row>
    <row r="77" spans="1:9" x14ac:dyDescent="0.35">
      <c r="A77" s="71" t="s">
        <v>115</v>
      </c>
      <c r="B77" s="71" t="s">
        <v>159</v>
      </c>
      <c r="C77" s="71" t="s">
        <v>169</v>
      </c>
      <c r="D77" s="71" t="s">
        <v>178</v>
      </c>
      <c r="E77" s="75">
        <v>48325</v>
      </c>
      <c r="F77" s="75">
        <v>48325</v>
      </c>
      <c r="G77" s="72" t="s">
        <v>180</v>
      </c>
      <c r="H77" s="50" t="s">
        <v>261</v>
      </c>
      <c r="I77" s="73">
        <v>3</v>
      </c>
    </row>
    <row r="78" spans="1:9" x14ac:dyDescent="0.35">
      <c r="A78" s="71" t="s">
        <v>48</v>
      </c>
      <c r="B78" s="71" t="s">
        <v>164</v>
      </c>
      <c r="C78" s="71" t="s">
        <v>167</v>
      </c>
      <c r="D78" s="71" t="s">
        <v>175</v>
      </c>
      <c r="E78" s="75">
        <v>48224</v>
      </c>
      <c r="F78" s="75">
        <v>48224</v>
      </c>
      <c r="G78" s="72" t="s">
        <v>180</v>
      </c>
      <c r="H78" s="50" t="s">
        <v>218</v>
      </c>
      <c r="I78" s="74">
        <v>3</v>
      </c>
    </row>
    <row r="79" spans="1:9" x14ac:dyDescent="0.35">
      <c r="A79" s="71" t="s">
        <v>122</v>
      </c>
      <c r="B79" s="71" t="s">
        <v>160</v>
      </c>
      <c r="C79" s="71" t="s">
        <v>169</v>
      </c>
      <c r="D79" s="71" t="s">
        <v>173</v>
      </c>
      <c r="E79" s="75">
        <v>47653</v>
      </c>
      <c r="F79" s="75">
        <v>47653</v>
      </c>
      <c r="G79" s="72" t="s">
        <v>180</v>
      </c>
      <c r="H79" s="50" t="s">
        <v>265</v>
      </c>
      <c r="I79" s="74">
        <v>1</v>
      </c>
    </row>
    <row r="80" spans="1:9" x14ac:dyDescent="0.35">
      <c r="A80" s="71" t="s">
        <v>130</v>
      </c>
      <c r="B80" s="71" t="s">
        <v>164</v>
      </c>
      <c r="C80" s="71" t="s">
        <v>168</v>
      </c>
      <c r="D80" s="71" t="s">
        <v>173</v>
      </c>
      <c r="E80" s="75">
        <v>45676</v>
      </c>
      <c r="F80" s="75">
        <v>45676</v>
      </c>
      <c r="G80" s="72" t="s">
        <v>180</v>
      </c>
      <c r="H80" s="50" t="s">
        <v>269</v>
      </c>
      <c r="I80" s="74">
        <v>2</v>
      </c>
    </row>
    <row r="81" spans="1:9" x14ac:dyDescent="0.35">
      <c r="A81" s="71" t="s">
        <v>91</v>
      </c>
      <c r="B81" s="71" t="s">
        <v>159</v>
      </c>
      <c r="C81" s="71" t="s">
        <v>169</v>
      </c>
      <c r="D81" s="71" t="s">
        <v>175</v>
      </c>
      <c r="E81" s="75">
        <v>42262</v>
      </c>
      <c r="F81" s="75">
        <v>42262</v>
      </c>
      <c r="G81" s="72" t="s">
        <v>180</v>
      </c>
      <c r="H81" s="50" t="s">
        <v>247</v>
      </c>
      <c r="I81" s="74">
        <v>1</v>
      </c>
    </row>
    <row r="82" spans="1:9" x14ac:dyDescent="0.35">
      <c r="A82" s="71" t="s">
        <v>111</v>
      </c>
      <c r="B82" s="71" t="s">
        <v>160</v>
      </c>
      <c r="C82" s="71" t="s">
        <v>167</v>
      </c>
      <c r="D82" s="71" t="s">
        <v>172</v>
      </c>
      <c r="E82" s="75">
        <v>42096</v>
      </c>
      <c r="F82" s="75">
        <v>42096</v>
      </c>
      <c r="G82" s="72" t="s">
        <v>181</v>
      </c>
      <c r="H82" s="50" t="s">
        <v>260</v>
      </c>
      <c r="I82" s="73">
        <v>3</v>
      </c>
    </row>
    <row r="83" spans="1:9" x14ac:dyDescent="0.35">
      <c r="A83" s="71" t="s">
        <v>36</v>
      </c>
      <c r="B83" s="71" t="s">
        <v>160</v>
      </c>
      <c r="C83" s="71" t="s">
        <v>169</v>
      </c>
      <c r="D83" s="71" t="s">
        <v>175</v>
      </c>
      <c r="E83" s="75">
        <v>41448</v>
      </c>
      <c r="F83" s="75">
        <v>41448</v>
      </c>
      <c r="G83" s="72" t="s">
        <v>180</v>
      </c>
      <c r="H83" s="50" t="s">
        <v>207</v>
      </c>
      <c r="I83" s="74">
        <v>3</v>
      </c>
    </row>
    <row r="84" spans="1:9" x14ac:dyDescent="0.35">
      <c r="A84" s="71" t="s">
        <v>26</v>
      </c>
      <c r="B84" s="71" t="s">
        <v>162</v>
      </c>
      <c r="C84" s="71" t="s">
        <v>166</v>
      </c>
      <c r="D84" s="71" t="s">
        <v>176</v>
      </c>
      <c r="E84" s="75">
        <v>41341</v>
      </c>
      <c r="F84" s="75">
        <v>41341</v>
      </c>
      <c r="G84" s="72" t="s">
        <v>180</v>
      </c>
      <c r="H84" s="50" t="s">
        <v>197</v>
      </c>
      <c r="I84" s="74">
        <v>1</v>
      </c>
    </row>
    <row r="85" spans="1:9" x14ac:dyDescent="0.35">
      <c r="A85" s="71" t="s">
        <v>60</v>
      </c>
      <c r="B85" s="71" t="s">
        <v>163</v>
      </c>
      <c r="C85" s="71" t="s">
        <v>168</v>
      </c>
      <c r="D85" s="71" t="s">
        <v>174</v>
      </c>
      <c r="E85" s="75">
        <v>39423</v>
      </c>
      <c r="F85" s="75">
        <v>39423</v>
      </c>
      <c r="G85" s="72" t="s">
        <v>180</v>
      </c>
      <c r="H85" s="50" t="s">
        <v>227</v>
      </c>
      <c r="I85" s="74">
        <v>5</v>
      </c>
    </row>
    <row r="86" spans="1:9" x14ac:dyDescent="0.35">
      <c r="A86" s="71" t="s">
        <v>141</v>
      </c>
      <c r="B86" s="71" t="s">
        <v>159</v>
      </c>
      <c r="C86" s="71" t="s">
        <v>167</v>
      </c>
      <c r="D86" s="71" t="s">
        <v>173</v>
      </c>
      <c r="E86" s="75">
        <v>38678</v>
      </c>
      <c r="F86" s="75">
        <v>38678</v>
      </c>
      <c r="G86" s="72" t="s">
        <v>180</v>
      </c>
      <c r="H86" s="50" t="s">
        <v>275</v>
      </c>
      <c r="I86" s="74">
        <v>3</v>
      </c>
    </row>
    <row r="87" spans="1:9" x14ac:dyDescent="0.35">
      <c r="A87" s="71" t="s">
        <v>31</v>
      </c>
      <c r="B87" s="71" t="s">
        <v>159</v>
      </c>
      <c r="C87" s="71" t="s">
        <v>166</v>
      </c>
      <c r="D87" s="71" t="s">
        <v>174</v>
      </c>
      <c r="E87" s="75">
        <v>38333</v>
      </c>
      <c r="F87" s="75">
        <v>38333</v>
      </c>
      <c r="G87" s="72" t="s">
        <v>180</v>
      </c>
      <c r="H87" s="50" t="s">
        <v>202</v>
      </c>
      <c r="I87" s="74">
        <v>5</v>
      </c>
    </row>
    <row r="88" spans="1:9" x14ac:dyDescent="0.35">
      <c r="A88" s="71" t="s">
        <v>72</v>
      </c>
      <c r="B88" s="71" t="s">
        <v>159</v>
      </c>
      <c r="C88" s="71" t="s">
        <v>167</v>
      </c>
      <c r="D88" s="71" t="s">
        <v>173</v>
      </c>
      <c r="E88" s="75">
        <v>36541</v>
      </c>
      <c r="F88" s="75">
        <v>36541</v>
      </c>
      <c r="G88" s="72" t="s">
        <v>180</v>
      </c>
      <c r="H88" s="50" t="s">
        <v>235</v>
      </c>
      <c r="I88" s="74">
        <v>2</v>
      </c>
    </row>
    <row r="89" spans="1:9" x14ac:dyDescent="0.35">
      <c r="A89" s="71" t="s">
        <v>32</v>
      </c>
      <c r="B89" s="71" t="s">
        <v>160</v>
      </c>
      <c r="C89" s="71" t="s">
        <v>170</v>
      </c>
      <c r="D89" s="71" t="s">
        <v>175</v>
      </c>
      <c r="E89" s="75">
        <v>36515</v>
      </c>
      <c r="F89" s="75">
        <v>36515</v>
      </c>
      <c r="G89" s="72" t="s">
        <v>180</v>
      </c>
      <c r="H89" s="50" t="s">
        <v>203</v>
      </c>
      <c r="I89" s="74">
        <v>3</v>
      </c>
    </row>
    <row r="90" spans="1:9" x14ac:dyDescent="0.35">
      <c r="A90" s="71" t="s">
        <v>16</v>
      </c>
      <c r="B90" s="71" t="s">
        <v>164</v>
      </c>
      <c r="C90" s="71" t="s">
        <v>170</v>
      </c>
      <c r="D90" s="71" t="s">
        <v>178</v>
      </c>
      <c r="E90" s="75">
        <v>35364</v>
      </c>
      <c r="F90" s="75">
        <v>35364</v>
      </c>
      <c r="G90" s="72" t="s">
        <v>180</v>
      </c>
      <c r="H90" s="50" t="s">
        <v>188</v>
      </c>
      <c r="I90" s="74">
        <v>2</v>
      </c>
    </row>
    <row r="91" spans="1:9" x14ac:dyDescent="0.35">
      <c r="A91" s="71" t="s">
        <v>52</v>
      </c>
      <c r="B91" s="71" t="s">
        <v>160</v>
      </c>
      <c r="C91" s="71" t="s">
        <v>170</v>
      </c>
      <c r="D91" s="71" t="s">
        <v>176</v>
      </c>
      <c r="E91" s="75">
        <v>35326</v>
      </c>
      <c r="F91" s="75">
        <v>35326</v>
      </c>
      <c r="G91" s="72" t="s">
        <v>181</v>
      </c>
      <c r="H91" s="50" t="s">
        <v>222</v>
      </c>
      <c r="I91" s="73">
        <v>3</v>
      </c>
    </row>
    <row r="92" spans="1:9" x14ac:dyDescent="0.35">
      <c r="A92" s="71" t="s">
        <v>94</v>
      </c>
      <c r="B92" s="71" t="s">
        <v>164</v>
      </c>
      <c r="C92" s="71" t="s">
        <v>166</v>
      </c>
      <c r="D92" s="71" t="s">
        <v>178</v>
      </c>
      <c r="E92" s="75">
        <v>35163</v>
      </c>
      <c r="F92" s="75">
        <v>35163</v>
      </c>
      <c r="G92" s="72" t="s">
        <v>180</v>
      </c>
      <c r="H92" s="50" t="s">
        <v>249</v>
      </c>
      <c r="I92" s="74">
        <v>5</v>
      </c>
    </row>
    <row r="93" spans="1:9" x14ac:dyDescent="0.35">
      <c r="A93" s="71" t="s">
        <v>50</v>
      </c>
      <c r="B93" s="71" t="s">
        <v>160</v>
      </c>
      <c r="C93" s="71" t="s">
        <v>169</v>
      </c>
      <c r="D93" s="71" t="s">
        <v>172</v>
      </c>
      <c r="E93" s="75">
        <v>33956</v>
      </c>
      <c r="F93" s="75">
        <v>33956</v>
      </c>
      <c r="G93" s="72" t="s">
        <v>180</v>
      </c>
      <c r="H93" s="50" t="s">
        <v>220</v>
      </c>
      <c r="I93" s="73">
        <v>3</v>
      </c>
    </row>
    <row r="94" spans="1:9" x14ac:dyDescent="0.35">
      <c r="A94" s="71" t="s">
        <v>95</v>
      </c>
      <c r="B94" s="71" t="s">
        <v>164</v>
      </c>
      <c r="C94" s="71" t="s">
        <v>169</v>
      </c>
      <c r="D94" s="71" t="s">
        <v>174</v>
      </c>
      <c r="E94" s="75">
        <v>33483</v>
      </c>
      <c r="F94" s="75">
        <v>33483</v>
      </c>
      <c r="G94" s="72" t="s">
        <v>180</v>
      </c>
      <c r="H94" s="50" t="s">
        <v>250</v>
      </c>
      <c r="I94" s="74">
        <v>4</v>
      </c>
    </row>
    <row r="95" spans="1:9" x14ac:dyDescent="0.35">
      <c r="A95" s="71" t="s">
        <v>74</v>
      </c>
      <c r="B95" s="71" t="s">
        <v>163</v>
      </c>
      <c r="C95" s="71" t="s">
        <v>166</v>
      </c>
      <c r="D95" s="71" t="s">
        <v>174</v>
      </c>
      <c r="E95" s="75">
        <v>33468</v>
      </c>
      <c r="F95" s="75">
        <v>33468</v>
      </c>
      <c r="G95" s="72" t="s">
        <v>180</v>
      </c>
      <c r="H95" s="50" t="s">
        <v>237</v>
      </c>
      <c r="I95" s="74">
        <v>4</v>
      </c>
    </row>
    <row r="96" spans="1:9" x14ac:dyDescent="0.35">
      <c r="A96" s="71" t="s">
        <v>103</v>
      </c>
      <c r="B96" s="71" t="s">
        <v>165</v>
      </c>
      <c r="C96" s="71" t="s">
        <v>169</v>
      </c>
      <c r="D96" s="71" t="s">
        <v>174</v>
      </c>
      <c r="E96" s="75">
        <v>33264</v>
      </c>
      <c r="F96" s="75">
        <v>33264</v>
      </c>
      <c r="G96" s="72" t="s">
        <v>181</v>
      </c>
      <c r="H96" s="50" t="s">
        <v>253</v>
      </c>
      <c r="I96" s="73">
        <v>3</v>
      </c>
    </row>
    <row r="97" spans="1:9" x14ac:dyDescent="0.35">
      <c r="A97" s="71" t="s">
        <v>119</v>
      </c>
      <c r="B97" s="71" t="s">
        <v>164</v>
      </c>
      <c r="C97" s="71" t="s">
        <v>168</v>
      </c>
      <c r="D97" s="71" t="s">
        <v>174</v>
      </c>
      <c r="E97" s="75">
        <v>31293</v>
      </c>
      <c r="F97" s="75">
        <v>31293</v>
      </c>
      <c r="G97" s="72" t="s">
        <v>181</v>
      </c>
      <c r="H97" s="50" t="s">
        <v>264</v>
      </c>
      <c r="I97" s="74">
        <v>2</v>
      </c>
    </row>
    <row r="98" spans="1:9" x14ac:dyDescent="0.35">
      <c r="A98" s="71" t="s">
        <v>59</v>
      </c>
      <c r="B98" s="71" t="s">
        <v>164</v>
      </c>
      <c r="C98" s="71" t="s">
        <v>178</v>
      </c>
      <c r="D98" s="71" t="s">
        <v>178</v>
      </c>
      <c r="E98" s="75">
        <v>30686</v>
      </c>
      <c r="F98" s="75">
        <v>30686</v>
      </c>
      <c r="G98" s="72" t="s">
        <v>181</v>
      </c>
      <c r="H98" s="50" t="s">
        <v>226</v>
      </c>
      <c r="I98" s="74">
        <v>2</v>
      </c>
    </row>
    <row r="99" spans="1:9" x14ac:dyDescent="0.35">
      <c r="A99" s="71" t="s">
        <v>137</v>
      </c>
      <c r="B99" s="71" t="s">
        <v>164</v>
      </c>
      <c r="C99" s="71" t="s">
        <v>168</v>
      </c>
      <c r="D99" s="71" t="s">
        <v>173</v>
      </c>
      <c r="E99" s="75">
        <v>30402</v>
      </c>
      <c r="F99" s="75">
        <v>30402</v>
      </c>
      <c r="G99" s="72" t="s">
        <v>180</v>
      </c>
      <c r="H99" s="50" t="s">
        <v>274</v>
      </c>
      <c r="I99" s="74">
        <v>1</v>
      </c>
    </row>
    <row r="100" spans="1:9" x14ac:dyDescent="0.35">
      <c r="A100" s="71" t="s">
        <v>61</v>
      </c>
      <c r="B100" s="71" t="s">
        <v>159</v>
      </c>
      <c r="C100" s="71" t="s">
        <v>170</v>
      </c>
      <c r="D100" s="71" t="s">
        <v>178</v>
      </c>
      <c r="E100" s="75">
        <v>30280</v>
      </c>
      <c r="F100" s="75">
        <v>30280</v>
      </c>
      <c r="G100" s="72" t="s">
        <v>180</v>
      </c>
      <c r="H100" s="50" t="s">
        <v>228</v>
      </c>
      <c r="I100" s="74">
        <v>1</v>
      </c>
    </row>
    <row r="102" spans="1:9" x14ac:dyDescent="0.35">
      <c r="E102"/>
    </row>
    <row r="103" spans="1:9" x14ac:dyDescent="0.35">
      <c r="E103"/>
    </row>
    <row r="104" spans="1:9" x14ac:dyDescent="0.35">
      <c r="E104"/>
    </row>
  </sheetData>
  <conditionalFormatting sqref="A2:H100">
    <cfRule type="containsText" dxfId="2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B105:B1048576 B1:B101">
      <formula1>$B$2:$B$100</formula1>
    </dataValidation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workbookViewId="0">
      <selection activeCell="D3" sqref="D3"/>
    </sheetView>
  </sheetViews>
  <sheetFormatPr defaultRowHeight="14.5" x14ac:dyDescent="0.35"/>
  <cols>
    <col min="1" max="1" width="9.6328125" bestFit="1" customWidth="1"/>
    <col min="2" max="2" width="11.453125" bestFit="1" customWidth="1"/>
    <col min="3" max="3" width="9.81640625" bestFit="1" customWidth="1"/>
    <col min="4" max="4" width="21.453125" bestFit="1" customWidth="1"/>
    <col min="5" max="5" width="17.81640625" bestFit="1" customWidth="1"/>
    <col min="6" max="6" width="9.26953125" bestFit="1" customWidth="1"/>
    <col min="7" max="7" width="22.08984375" style="63" bestFit="1" customWidth="1"/>
    <col min="9" max="9" width="10.08984375" bestFit="1" customWidth="1"/>
  </cols>
  <sheetData>
    <row r="1" spans="1:15" x14ac:dyDescent="0.35">
      <c r="A1" t="s">
        <v>400</v>
      </c>
      <c r="B1" t="s">
        <v>1</v>
      </c>
      <c r="C1" t="s">
        <v>3</v>
      </c>
      <c r="D1" t="s">
        <v>347</v>
      </c>
      <c r="E1" t="s">
        <v>348</v>
      </c>
      <c r="F1" t="s">
        <v>7</v>
      </c>
      <c r="G1" s="63" t="s">
        <v>6</v>
      </c>
    </row>
    <row r="2" spans="1:15" x14ac:dyDescent="0.35">
      <c r="A2" t="s">
        <v>92</v>
      </c>
      <c r="B2" t="str">
        <f>VLOOKUP(A2,Table1014161817[],2,0)</f>
        <v>Sam Wilson</v>
      </c>
      <c r="C2" t="str">
        <f>VLOOKUP(A2,Table1014161817[],4,0)</f>
        <v>India</v>
      </c>
      <c r="D2">
        <f>VLOOKUP($A2,Table1014161817[],5,0)</f>
        <v>99621</v>
      </c>
      <c r="E2">
        <f>VLOOKUP($A2,Table1014161817[],6,0)</f>
        <v>99621</v>
      </c>
      <c r="F2" t="str">
        <f>VLOOKUP($A2,Table1014161817[],7,0)</f>
        <v>Male</v>
      </c>
      <c r="G2" s="63">
        <f>VLOOKUP($A2,Table1014161817[],9,0)</f>
        <v>3</v>
      </c>
    </row>
    <row r="3" spans="1:15" x14ac:dyDescent="0.35">
      <c r="A3" t="s">
        <v>30</v>
      </c>
      <c r="B3" t="str">
        <f>VLOOKUP(A3,Table1014161817[],2,0)</f>
        <v>Jane Smith</v>
      </c>
      <c r="C3" t="str">
        <f>VLOOKUP(A3,Table1014161817[],4,0)</f>
        <v>Unknown</v>
      </c>
      <c r="D3">
        <f>VLOOKUP($A3,Table1014161817[],5,0)</f>
        <v>98922</v>
      </c>
      <c r="E3">
        <f>VLOOKUP($A3,Table1014161817[],6,0)</f>
        <v>98922</v>
      </c>
      <c r="F3" t="str">
        <f>VLOOKUP($A3,Table1014161817[],7,0)</f>
        <v>Male</v>
      </c>
      <c r="G3" s="63">
        <f>VLOOKUP($A3,Table1014161817[],9,0)</f>
        <v>4</v>
      </c>
    </row>
    <row r="4" spans="1:15" x14ac:dyDescent="0.35">
      <c r="A4" t="s">
        <v>158</v>
      </c>
      <c r="B4" t="str">
        <f>VLOOKUP(A4,Table1014161817[],2,0)</f>
        <v>Sam Wilson</v>
      </c>
      <c r="C4" t="str">
        <f>VLOOKUP(A4,Table1014161817[],4,0)</f>
        <v>India</v>
      </c>
      <c r="D4">
        <f>VLOOKUP($A4,Table1014161817[],5,0)</f>
        <v>98475</v>
      </c>
      <c r="E4">
        <f>VLOOKUP($A4,Table1014161817[],6,0)</f>
        <v>98475</v>
      </c>
      <c r="F4" t="str">
        <f>VLOOKUP($A4,Table1014161817[],7,0)</f>
        <v>Male</v>
      </c>
      <c r="G4" s="63">
        <f>VLOOKUP($A4,Table1014161817[],9,0)</f>
        <v>5</v>
      </c>
    </row>
    <row r="5" spans="1:15" x14ac:dyDescent="0.35">
      <c r="A5" t="s">
        <v>71</v>
      </c>
      <c r="B5" t="str">
        <f>VLOOKUP(A5,Table1014161817[],2,0)</f>
        <v>Chris Lee</v>
      </c>
      <c r="C5" t="str">
        <f>VLOOKUP(A5,Table1014161817[],4,0)</f>
        <v>UK</v>
      </c>
      <c r="D5">
        <f>VLOOKUP($A5,Table1014161817[],5,0)</f>
        <v>97981</v>
      </c>
      <c r="E5">
        <f>VLOOKUP($A5,Table1014161817[],6,0)</f>
        <v>97981</v>
      </c>
      <c r="F5" t="str">
        <f>VLOOKUP($A5,Table1014161817[],7,0)</f>
        <v>Female</v>
      </c>
      <c r="G5" s="63">
        <f>VLOOKUP($A5,Table1014161817[],9,0)</f>
        <v>5</v>
      </c>
      <c r="I5" s="125" t="s">
        <v>401</v>
      </c>
    </row>
    <row r="6" spans="1:15" x14ac:dyDescent="0.35">
      <c r="A6" t="s">
        <v>17</v>
      </c>
      <c r="B6" t="str">
        <f>VLOOKUP(A6,Table1014161817[],2,0)</f>
        <v>Alice Brown</v>
      </c>
      <c r="C6" t="str">
        <f>VLOOKUP(A6,Table1014161817[],4,0)</f>
        <v>Germany</v>
      </c>
      <c r="D6">
        <f>VLOOKUP($A6,Table1014161817[],5,0)</f>
        <v>97881</v>
      </c>
      <c r="E6">
        <f>VLOOKUP($A6,Table1014161817[],6,0)</f>
        <v>97881</v>
      </c>
      <c r="F6" t="str">
        <f>VLOOKUP($A6,Table1014161817[],7,0)</f>
        <v>Female</v>
      </c>
      <c r="G6" s="63">
        <f>VLOOKUP($A6,Table1014161817[],9,0)</f>
        <v>3</v>
      </c>
      <c r="J6" s="124" t="s">
        <v>403</v>
      </c>
      <c r="K6" s="124"/>
      <c r="L6" s="124"/>
      <c r="M6" s="124"/>
      <c r="N6" s="124"/>
      <c r="O6" s="124"/>
    </row>
    <row r="7" spans="1:15" x14ac:dyDescent="0.35">
      <c r="A7" t="s">
        <v>75</v>
      </c>
      <c r="B7" t="str">
        <f>VLOOKUP(A7,Table1014161817[],2,0)</f>
        <v>Sam Wilson</v>
      </c>
      <c r="C7" t="str">
        <f>VLOOKUP(A7,Table1014161817[],4,0)</f>
        <v>Australia</v>
      </c>
      <c r="D7">
        <f>VLOOKUP($A7,Table1014161817[],5,0)</f>
        <v>96365</v>
      </c>
      <c r="E7">
        <f>VLOOKUP($A7,Table1014161817[],6,0)</f>
        <v>96365</v>
      </c>
      <c r="F7" t="str">
        <f>VLOOKUP($A7,Table1014161817[],7,0)</f>
        <v>Male</v>
      </c>
      <c r="G7" s="63">
        <f>VLOOKUP($A7,Table1014161817[],9,0)</f>
        <v>3</v>
      </c>
      <c r="J7" s="124" t="s">
        <v>402</v>
      </c>
      <c r="K7" s="124"/>
      <c r="L7" s="124"/>
      <c r="M7" s="124"/>
      <c r="N7" s="124"/>
      <c r="O7" s="124"/>
    </row>
    <row r="8" spans="1:15" x14ac:dyDescent="0.35">
      <c r="A8" t="s">
        <v>84</v>
      </c>
      <c r="B8" t="str">
        <f>VLOOKUP(A8,Table1014161817[],2,0)</f>
        <v>Unknown</v>
      </c>
      <c r="C8" t="str">
        <f>VLOOKUP(A8,Table1014161817[],4,0)</f>
        <v>Unknown</v>
      </c>
      <c r="D8">
        <f>VLOOKUP($A8,Table1014161817[],5,0)</f>
        <v>96142</v>
      </c>
      <c r="E8">
        <f>VLOOKUP($A8,Table1014161817[],6,0)</f>
        <v>96142</v>
      </c>
      <c r="F8" t="str">
        <f>VLOOKUP($A8,Table1014161817[],7,0)</f>
        <v>Male</v>
      </c>
      <c r="G8" s="63">
        <f>VLOOKUP($A8,Table1014161817[],9,0)</f>
        <v>1</v>
      </c>
    </row>
    <row r="9" spans="1:15" x14ac:dyDescent="0.35">
      <c r="A9" t="s">
        <v>104</v>
      </c>
      <c r="B9" t="str">
        <f>VLOOKUP(A9,Table1014161817[],2,0)</f>
        <v>Alice Brown</v>
      </c>
      <c r="C9" t="str">
        <f>VLOOKUP(A9,Table1014161817[],4,0)</f>
        <v>Australia</v>
      </c>
      <c r="D9">
        <f>VLOOKUP($A9,Table1014161817[],5,0)</f>
        <v>96101</v>
      </c>
      <c r="E9">
        <f>VLOOKUP($A9,Table1014161817[],6,0)</f>
        <v>96101</v>
      </c>
      <c r="F9" t="str">
        <f>VLOOKUP($A9,Table1014161817[],7,0)</f>
        <v>Male</v>
      </c>
      <c r="G9" s="63">
        <f>VLOOKUP($A9,Table1014161817[],9,0)</f>
        <v>3</v>
      </c>
    </row>
    <row r="10" spans="1:15" x14ac:dyDescent="0.35">
      <c r="A10" t="s">
        <v>90</v>
      </c>
      <c r="B10" t="str">
        <f>VLOOKUP(A10,Table1014161817[],2,0)</f>
        <v>Jane Smith</v>
      </c>
      <c r="C10" t="str">
        <f>VLOOKUP(A10,Table1014161817[],4,0)</f>
        <v>USA</v>
      </c>
      <c r="D10">
        <f>VLOOKUP($A10,Table1014161817[],5,0)</f>
        <v>95621</v>
      </c>
      <c r="E10">
        <f>VLOOKUP($A10,Table1014161817[],6,0)</f>
        <v>95621</v>
      </c>
      <c r="F10" t="str">
        <f>VLOOKUP($A10,Table1014161817[],7,0)</f>
        <v>Female</v>
      </c>
      <c r="G10" s="63">
        <f>VLOOKUP($A10,Table1014161817[],9,0)</f>
        <v>3</v>
      </c>
    </row>
    <row r="11" spans="1:15" x14ac:dyDescent="0.35">
      <c r="A11" t="s">
        <v>41</v>
      </c>
      <c r="B11" t="str">
        <f>VLOOKUP(A11,Table1014161817[],2,0)</f>
        <v>Sam Wilson</v>
      </c>
      <c r="C11" t="str">
        <f>VLOOKUP(A11,Table1014161817[],4,0)</f>
        <v>Unknown</v>
      </c>
      <c r="D11">
        <f>VLOOKUP($A11,Table1014161817[],5,0)</f>
        <v>95586</v>
      </c>
      <c r="E11">
        <f>VLOOKUP($A11,Table1014161817[],6,0)</f>
        <v>95586</v>
      </c>
      <c r="F11" t="str">
        <f>VLOOKUP($A11,Table1014161817[],7,0)</f>
        <v>Male</v>
      </c>
      <c r="G11" s="63">
        <f>VLOOKUP($A11,Table1014161817[],9,0)</f>
        <v>3</v>
      </c>
    </row>
    <row r="12" spans="1:15" x14ac:dyDescent="0.35">
      <c r="A12" t="s">
        <v>42</v>
      </c>
      <c r="B12" t="str">
        <f>VLOOKUP(A12,Table1014161817[],2,0)</f>
        <v>Chris Lee</v>
      </c>
      <c r="C12" t="str">
        <f>VLOOKUP(A12,Table1014161817[],4,0)</f>
        <v>USA</v>
      </c>
      <c r="D12">
        <f>VLOOKUP($A12,Table1014161817[],5,0)</f>
        <v>95367</v>
      </c>
      <c r="E12">
        <f>VLOOKUP($A12,Table1014161817[],6,0)</f>
        <v>95367</v>
      </c>
      <c r="F12" t="str">
        <f>VLOOKUP($A12,Table1014161817[],7,0)</f>
        <v>Male</v>
      </c>
      <c r="G12" s="63">
        <f>VLOOKUP($A12,Table1014161817[],9,0)</f>
        <v>3</v>
      </c>
    </row>
    <row r="13" spans="1:15" x14ac:dyDescent="0.35">
      <c r="A13" t="s">
        <v>127</v>
      </c>
      <c r="B13" t="str">
        <f>VLOOKUP(A13,Table1014161817[],2,0)</f>
        <v>Chris Lee</v>
      </c>
      <c r="C13" t="str">
        <f>VLOOKUP(A13,Table1014161817[],4,0)</f>
        <v>India</v>
      </c>
      <c r="D13">
        <f>VLOOKUP($A13,Table1014161817[],5,0)</f>
        <v>95032</v>
      </c>
      <c r="E13">
        <f>VLOOKUP($A13,Table1014161817[],6,0)</f>
        <v>95032</v>
      </c>
      <c r="F13" t="str">
        <f>VLOOKUP($A13,Table1014161817[],7,0)</f>
        <v>Male</v>
      </c>
      <c r="G13" s="63">
        <f>VLOOKUP($A13,Table1014161817[],9,0)</f>
        <v>3</v>
      </c>
    </row>
    <row r="14" spans="1:15" x14ac:dyDescent="0.35">
      <c r="A14" t="s">
        <v>12</v>
      </c>
      <c r="B14" t="str">
        <f>VLOOKUP(A14,Table1014161817[],2,0)</f>
        <v>John Doe</v>
      </c>
      <c r="C14" t="str">
        <f>VLOOKUP(A14,Table1014161817[],4,0)</f>
        <v>USA</v>
      </c>
      <c r="D14">
        <f>VLOOKUP($A14,Table1014161817[],5,0)</f>
        <v>94406</v>
      </c>
      <c r="E14">
        <f>VLOOKUP($A14,Table1014161817[],6,0)</f>
        <v>94406</v>
      </c>
      <c r="F14" t="str">
        <f>VLOOKUP($A14,Table1014161817[],7,0)</f>
        <v>Male</v>
      </c>
      <c r="G14" s="63">
        <f>VLOOKUP($A14,Table1014161817[],9,0)</f>
        <v>1</v>
      </c>
    </row>
    <row r="15" spans="1:15" x14ac:dyDescent="0.35">
      <c r="A15" t="s">
        <v>153</v>
      </c>
      <c r="B15" t="str">
        <f>VLOOKUP(A15,Table1014161817[],2,0)</f>
        <v>Eve Adams</v>
      </c>
      <c r="C15" t="str">
        <f>VLOOKUP(A15,Table1014161817[],4,0)</f>
        <v>Unknown</v>
      </c>
      <c r="D15">
        <f>VLOOKUP($A15,Table1014161817[],5,0)</f>
        <v>94148</v>
      </c>
      <c r="E15">
        <f>VLOOKUP($A15,Table1014161817[],6,0)</f>
        <v>94148</v>
      </c>
      <c r="F15" t="str">
        <f>VLOOKUP($A15,Table1014161817[],7,0)</f>
        <v>Male</v>
      </c>
      <c r="G15" s="63">
        <f>VLOOKUP($A15,Table1014161817[],9,0)</f>
        <v>2</v>
      </c>
    </row>
    <row r="16" spans="1:15" x14ac:dyDescent="0.35">
      <c r="A16" t="s">
        <v>38</v>
      </c>
      <c r="B16" t="str">
        <f>VLOOKUP(A16,Table1014161817[],2,0)</f>
        <v>Bob Johnson</v>
      </c>
      <c r="C16" t="str">
        <f>VLOOKUP(A16,Table1014161817[],4,0)</f>
        <v>UK</v>
      </c>
      <c r="D16">
        <f>VLOOKUP($A16,Table1014161817[],5,0)</f>
        <v>92959</v>
      </c>
      <c r="E16">
        <f>VLOOKUP($A16,Table1014161817[],6,0)</f>
        <v>92959</v>
      </c>
      <c r="F16" t="str">
        <f>VLOOKUP($A16,Table1014161817[],7,0)</f>
        <v>Male</v>
      </c>
      <c r="G16" s="63">
        <f>VLOOKUP($A16,Table1014161817[],9,0)</f>
        <v>5</v>
      </c>
    </row>
    <row r="17" spans="1:7" x14ac:dyDescent="0.35">
      <c r="A17" t="s">
        <v>55</v>
      </c>
      <c r="B17" t="str">
        <f>VLOOKUP(A17,Table1014161817[],2,0)</f>
        <v>Chris Lee</v>
      </c>
      <c r="C17" t="str">
        <f>VLOOKUP(A17,Table1014161817[],4,0)</f>
        <v>Germany</v>
      </c>
      <c r="D17">
        <f>VLOOKUP($A17,Table1014161817[],5,0)</f>
        <v>92701</v>
      </c>
      <c r="E17">
        <f>VLOOKUP($A17,Table1014161817[],6,0)</f>
        <v>92701</v>
      </c>
      <c r="F17" t="str">
        <f>VLOOKUP($A17,Table1014161817[],7,0)</f>
        <v>Male</v>
      </c>
      <c r="G17" s="63">
        <f>VLOOKUP($A17,Table1014161817[],9,0)</f>
        <v>3</v>
      </c>
    </row>
    <row r="18" spans="1:7" x14ac:dyDescent="0.35">
      <c r="A18" t="s">
        <v>24</v>
      </c>
      <c r="B18" t="str">
        <f>VLOOKUP(A18,Table1014161817[],2,0)</f>
        <v>Unknown</v>
      </c>
      <c r="C18" t="str">
        <f>VLOOKUP(A18,Table1014161817[],4,0)</f>
        <v>India</v>
      </c>
      <c r="D18">
        <f>VLOOKUP($A18,Table1014161817[],5,0)</f>
        <v>92443</v>
      </c>
      <c r="E18">
        <f>VLOOKUP($A18,Table1014161817[],6,0)</f>
        <v>92443</v>
      </c>
      <c r="F18" t="str">
        <f>VLOOKUP($A18,Table1014161817[],7,0)</f>
        <v>Male</v>
      </c>
      <c r="G18" s="63">
        <f>VLOOKUP($A18,Table1014161817[],9,0)</f>
        <v>3</v>
      </c>
    </row>
    <row r="19" spans="1:7" x14ac:dyDescent="0.35">
      <c r="A19" t="s">
        <v>40</v>
      </c>
      <c r="B19" t="str">
        <f>VLOOKUP(A19,Table1014161817[],2,0)</f>
        <v>Eve Adams</v>
      </c>
      <c r="C19" t="str">
        <f>VLOOKUP(A19,Table1014161817[],4,0)</f>
        <v>Germany</v>
      </c>
      <c r="D19">
        <f>VLOOKUP($A19,Table1014161817[],5,0)</f>
        <v>92299</v>
      </c>
      <c r="E19">
        <f>VLOOKUP($A19,Table1014161817[],6,0)</f>
        <v>92299</v>
      </c>
      <c r="F19" t="str">
        <f>VLOOKUP($A19,Table1014161817[],7,0)</f>
        <v>Male</v>
      </c>
      <c r="G19" s="63">
        <f>VLOOKUP($A19,Table1014161817[],9,0)</f>
        <v>3</v>
      </c>
    </row>
    <row r="20" spans="1:7" x14ac:dyDescent="0.35">
      <c r="A20" t="s">
        <v>39</v>
      </c>
      <c r="B20" t="str">
        <f>VLOOKUP(A20,Table1014161817[],2,0)</f>
        <v>Unknown</v>
      </c>
      <c r="C20" t="str">
        <f>VLOOKUP(A20,Table1014161817[],4,0)</f>
        <v>Unknown</v>
      </c>
      <c r="D20">
        <f>VLOOKUP($A20,Table1014161817[],5,0)</f>
        <v>92259</v>
      </c>
      <c r="E20">
        <f>VLOOKUP($A20,Table1014161817[],6,0)</f>
        <v>92259</v>
      </c>
      <c r="F20" t="str">
        <f>VLOOKUP($A20,Table1014161817[],7,0)</f>
        <v>Unknown</v>
      </c>
      <c r="G20" s="63">
        <f>VLOOKUP($A20,Table1014161817[],9,0)</f>
        <v>1</v>
      </c>
    </row>
    <row r="21" spans="1:7" x14ac:dyDescent="0.35">
      <c r="A21" t="s">
        <v>18</v>
      </c>
      <c r="B21" t="str">
        <f>VLOOKUP(A21,Table1014161817[],2,0)</f>
        <v>Chris Lee</v>
      </c>
      <c r="C21" t="str">
        <f>VLOOKUP(A21,Table1014161817[],4,0)</f>
        <v>UK</v>
      </c>
      <c r="D21">
        <f>VLOOKUP($A21,Table1014161817[],5,0)</f>
        <v>91846</v>
      </c>
      <c r="E21">
        <f>VLOOKUP($A21,Table1014161817[],6,0)</f>
        <v>91846</v>
      </c>
      <c r="F21" t="str">
        <f>VLOOKUP($A21,Table1014161817[],7,0)</f>
        <v>Male</v>
      </c>
      <c r="G21" s="63">
        <f>VLOOKUP($A21,Table1014161817[],9,0)</f>
        <v>3</v>
      </c>
    </row>
    <row r="22" spans="1:7" x14ac:dyDescent="0.35">
      <c r="A22" t="s">
        <v>152</v>
      </c>
      <c r="B22" t="str">
        <f>VLOOKUP(A22,Table1014161817[],2,0)</f>
        <v>Chris Lee</v>
      </c>
      <c r="C22" t="str">
        <f>VLOOKUP(A22,Table1014161817[],4,0)</f>
        <v>UK</v>
      </c>
      <c r="D22">
        <f>VLOOKUP($A22,Table1014161817[],5,0)</f>
        <v>91620</v>
      </c>
      <c r="E22">
        <f>VLOOKUP($A22,Table1014161817[],6,0)</f>
        <v>91620</v>
      </c>
      <c r="F22" t="str">
        <f>VLOOKUP($A22,Table1014161817[],7,0)</f>
        <v>Male</v>
      </c>
      <c r="G22" s="63">
        <f>VLOOKUP($A22,Table1014161817[],9,0)</f>
        <v>3</v>
      </c>
    </row>
    <row r="23" spans="1:7" x14ac:dyDescent="0.35">
      <c r="A23" t="s">
        <v>20</v>
      </c>
      <c r="B23" t="str">
        <f>VLOOKUP(A23,Table1014161817[],2,0)</f>
        <v>Sam Wilson</v>
      </c>
      <c r="C23" t="str">
        <f>VLOOKUP(A23,Table1014161817[],4,0)</f>
        <v>USA</v>
      </c>
      <c r="D23">
        <f>VLOOKUP($A23,Table1014161817[],5,0)</f>
        <v>91180</v>
      </c>
      <c r="E23">
        <f>VLOOKUP($A23,Table1014161817[],6,0)</f>
        <v>91180</v>
      </c>
      <c r="F23" t="str">
        <f>VLOOKUP($A23,Table1014161817[],7,0)</f>
        <v>Male</v>
      </c>
      <c r="G23" s="63">
        <f>VLOOKUP($A23,Table1014161817[],9,0)</f>
        <v>5</v>
      </c>
    </row>
    <row r="24" spans="1:7" x14ac:dyDescent="0.35">
      <c r="A24" t="s">
        <v>33</v>
      </c>
      <c r="B24" t="str">
        <f>VLOOKUP(A24,Table1014161817[],2,0)</f>
        <v>Sam Wilson</v>
      </c>
      <c r="C24" t="str">
        <f>VLOOKUP(A24,Table1014161817[],4,0)</f>
        <v>Unknown</v>
      </c>
      <c r="D24">
        <f>VLOOKUP($A24,Table1014161817[],5,0)</f>
        <v>91005</v>
      </c>
      <c r="E24">
        <f>VLOOKUP($A24,Table1014161817[],6,0)</f>
        <v>91005</v>
      </c>
      <c r="F24" t="str">
        <f>VLOOKUP($A24,Table1014161817[],7,0)</f>
        <v>Male</v>
      </c>
      <c r="G24" s="63">
        <f>VLOOKUP($A24,Table1014161817[],9,0)</f>
        <v>1</v>
      </c>
    </row>
    <row r="25" spans="1:7" x14ac:dyDescent="0.35">
      <c r="A25" t="s">
        <v>25</v>
      </c>
      <c r="B25" t="str">
        <f>VLOOKUP(A25,Table1014161817[],2,0)</f>
        <v>Bob Johnson</v>
      </c>
      <c r="C25" t="str">
        <f>VLOOKUP(A25,Table1014161817[],4,0)</f>
        <v>Germany</v>
      </c>
      <c r="D25">
        <f>VLOOKUP($A25,Table1014161817[],5,0)</f>
        <v>90271</v>
      </c>
      <c r="E25">
        <f>VLOOKUP($A25,Table1014161817[],6,0)</f>
        <v>90271</v>
      </c>
      <c r="F25" t="str">
        <f>VLOOKUP($A25,Table1014161817[],7,0)</f>
        <v>Male</v>
      </c>
      <c r="G25" s="63">
        <f>VLOOKUP($A25,Table1014161817[],9,0)</f>
        <v>3</v>
      </c>
    </row>
    <row r="26" spans="1:7" x14ac:dyDescent="0.35">
      <c r="A26" t="s">
        <v>134</v>
      </c>
      <c r="B26" t="str">
        <f>VLOOKUP(A26,Table1014161817[],2,0)</f>
        <v>John Doe</v>
      </c>
      <c r="C26" t="str">
        <f>VLOOKUP(A26,Table1014161817[],4,0)</f>
        <v>Unknown</v>
      </c>
      <c r="D26">
        <f>VLOOKUP($A26,Table1014161817[],5,0)</f>
        <v>90019</v>
      </c>
      <c r="E26">
        <f>VLOOKUP($A26,Table1014161817[],6,0)</f>
        <v>90019</v>
      </c>
      <c r="F26" t="str">
        <f>VLOOKUP($A26,Table1014161817[],7,0)</f>
        <v>Male</v>
      </c>
      <c r="G26" s="63">
        <f>VLOOKUP($A26,Table1014161817[],9,0)</f>
        <v>5</v>
      </c>
    </row>
    <row r="27" spans="1:7" x14ac:dyDescent="0.35">
      <c r="A27" t="s">
        <v>45</v>
      </c>
      <c r="B27" t="str">
        <f>VLOOKUP(A27,Table1014161817[],2,0)</f>
        <v>Alice Brown</v>
      </c>
      <c r="C27" t="str">
        <f>VLOOKUP(A27,Table1014161817[],4,0)</f>
        <v>USA</v>
      </c>
      <c r="D27">
        <f>VLOOKUP($A27,Table1014161817[],5,0)</f>
        <v>89781</v>
      </c>
      <c r="E27">
        <f>VLOOKUP($A27,Table1014161817[],6,0)</f>
        <v>89781</v>
      </c>
      <c r="F27" t="str">
        <f>VLOOKUP($A27,Table1014161817[],7,0)</f>
        <v>Female</v>
      </c>
      <c r="G27" s="63">
        <f>VLOOKUP($A27,Table1014161817[],9,0)</f>
        <v>3</v>
      </c>
    </row>
    <row r="28" spans="1:7" x14ac:dyDescent="0.35">
      <c r="A28" t="s">
        <v>106</v>
      </c>
      <c r="B28" t="str">
        <f>VLOOKUP(A28,Table1014161817[],2,0)</f>
        <v>Sam Wilson</v>
      </c>
      <c r="C28" t="str">
        <f>VLOOKUP(A28,Table1014161817[],4,0)</f>
        <v>Germany</v>
      </c>
      <c r="D28">
        <f>VLOOKUP($A28,Table1014161817[],5,0)</f>
        <v>89333</v>
      </c>
      <c r="E28">
        <f>VLOOKUP($A28,Table1014161817[],6,0)</f>
        <v>89333</v>
      </c>
      <c r="F28" t="str">
        <f>VLOOKUP($A28,Table1014161817[],7,0)</f>
        <v>Male</v>
      </c>
      <c r="G28" s="63">
        <f>VLOOKUP($A28,Table1014161817[],9,0)</f>
        <v>1</v>
      </c>
    </row>
    <row r="29" spans="1:7" x14ac:dyDescent="0.35">
      <c r="A29" t="s">
        <v>118</v>
      </c>
      <c r="B29" t="str">
        <f>VLOOKUP(A29,Table1014161817[],2,0)</f>
        <v>Jane Smith</v>
      </c>
      <c r="C29" t="str">
        <f>VLOOKUP(A29,Table1014161817[],4,0)</f>
        <v>India</v>
      </c>
      <c r="D29">
        <f>VLOOKUP($A29,Table1014161817[],5,0)</f>
        <v>88850</v>
      </c>
      <c r="E29">
        <f>VLOOKUP($A29,Table1014161817[],6,0)</f>
        <v>88850</v>
      </c>
      <c r="F29" t="str">
        <f>VLOOKUP($A29,Table1014161817[],7,0)</f>
        <v>Female</v>
      </c>
      <c r="G29" s="63">
        <f>VLOOKUP($A29,Table1014161817[],9,0)</f>
        <v>1</v>
      </c>
    </row>
    <row r="30" spans="1:7" x14ac:dyDescent="0.35">
      <c r="A30" t="s">
        <v>80</v>
      </c>
      <c r="B30" t="str">
        <f>VLOOKUP(A30,Table1014161817[],2,0)</f>
        <v>Eve Adams</v>
      </c>
      <c r="C30" t="str">
        <f>VLOOKUP(A30,Table1014161817[],4,0)</f>
        <v>USA</v>
      </c>
      <c r="D30">
        <f>VLOOKUP($A30,Table1014161817[],5,0)</f>
        <v>85065</v>
      </c>
      <c r="E30">
        <f>VLOOKUP($A30,Table1014161817[],6,0)</f>
        <v>85065</v>
      </c>
      <c r="F30" t="str">
        <f>VLOOKUP($A30,Table1014161817[],7,0)</f>
        <v>Male</v>
      </c>
      <c r="G30" s="63">
        <f>VLOOKUP($A30,Table1014161817[],9,0)</f>
        <v>3</v>
      </c>
    </row>
    <row r="31" spans="1:7" x14ac:dyDescent="0.35">
      <c r="A31" t="s">
        <v>146</v>
      </c>
      <c r="B31" t="str">
        <f>VLOOKUP(A31,Table1014161817[],2,0)</f>
        <v>Chris Lee</v>
      </c>
      <c r="C31" t="str">
        <f>VLOOKUP(A31,Table1014161817[],4,0)</f>
        <v>Germany</v>
      </c>
      <c r="D31">
        <f>VLOOKUP($A31,Table1014161817[],5,0)</f>
        <v>84968</v>
      </c>
      <c r="E31">
        <f>VLOOKUP($A31,Table1014161817[],6,0)</f>
        <v>84968</v>
      </c>
      <c r="F31" t="str">
        <f>VLOOKUP($A31,Table1014161817[],7,0)</f>
        <v>Male</v>
      </c>
      <c r="G31" s="63">
        <f>VLOOKUP($A31,Table1014161817[],9,0)</f>
        <v>3</v>
      </c>
    </row>
    <row r="32" spans="1:7" x14ac:dyDescent="0.35">
      <c r="A32" t="s">
        <v>67</v>
      </c>
      <c r="B32" t="str">
        <f>VLOOKUP(A32,Table1014161817[],2,0)</f>
        <v>Sam Wilson</v>
      </c>
      <c r="C32" t="str">
        <f>VLOOKUP(A32,Table1014161817[],4,0)</f>
        <v>Unknown</v>
      </c>
      <c r="D32">
        <f>VLOOKUP($A32,Table1014161817[],5,0)</f>
        <v>84924</v>
      </c>
      <c r="E32">
        <f>VLOOKUP($A32,Table1014161817[],6,0)</f>
        <v>84924</v>
      </c>
      <c r="F32" t="str">
        <f>VLOOKUP($A32,Table1014161817[],7,0)</f>
        <v>Male</v>
      </c>
      <c r="G32" s="63">
        <f>VLOOKUP($A32,Table1014161817[],9,0)</f>
        <v>5</v>
      </c>
    </row>
    <row r="33" spans="1:7" x14ac:dyDescent="0.35">
      <c r="A33" t="s">
        <v>73</v>
      </c>
      <c r="B33" t="str">
        <f>VLOOKUP(A33,Table1014161817[],2,0)</f>
        <v>John Doe</v>
      </c>
      <c r="C33" t="str">
        <f>VLOOKUP(A33,Table1014161817[],4,0)</f>
        <v>India</v>
      </c>
      <c r="D33">
        <f>VLOOKUP($A33,Table1014161817[],5,0)</f>
        <v>84737</v>
      </c>
      <c r="E33">
        <f>VLOOKUP($A33,Table1014161817[],6,0)</f>
        <v>84737</v>
      </c>
      <c r="F33" t="str">
        <f>VLOOKUP($A33,Table1014161817[],7,0)</f>
        <v>Male</v>
      </c>
      <c r="G33" s="63">
        <f>VLOOKUP($A33,Table1014161817[],9,0)</f>
        <v>1</v>
      </c>
    </row>
    <row r="34" spans="1:7" x14ac:dyDescent="0.35">
      <c r="A34" t="s">
        <v>53</v>
      </c>
      <c r="B34" t="str">
        <f>VLOOKUP(A34,Table1014161817[],2,0)</f>
        <v>Chris Lee</v>
      </c>
      <c r="C34" t="str">
        <f>VLOOKUP(A34,Table1014161817[],4,0)</f>
        <v>Unknown</v>
      </c>
      <c r="D34">
        <f>VLOOKUP($A34,Table1014161817[],5,0)</f>
        <v>81610</v>
      </c>
      <c r="E34">
        <f>VLOOKUP($A34,Table1014161817[],6,0)</f>
        <v>81610</v>
      </c>
      <c r="F34" t="str">
        <f>VLOOKUP($A34,Table1014161817[],7,0)</f>
        <v>Male</v>
      </c>
      <c r="G34" s="63">
        <f>VLOOKUP($A34,Table1014161817[],9,0)</f>
        <v>1</v>
      </c>
    </row>
    <row r="35" spans="1:7" x14ac:dyDescent="0.35">
      <c r="A35" t="s">
        <v>43</v>
      </c>
      <c r="B35" t="str">
        <f>VLOOKUP(A35,Table1014161817[],2,0)</f>
        <v>John Doe</v>
      </c>
      <c r="C35" t="str">
        <f>VLOOKUP(A35,Table1014161817[],4,0)</f>
        <v>Australia</v>
      </c>
      <c r="D35">
        <f>VLOOKUP($A35,Table1014161817[],5,0)</f>
        <v>79549</v>
      </c>
      <c r="E35">
        <f>VLOOKUP($A35,Table1014161817[],6,0)</f>
        <v>79549</v>
      </c>
      <c r="F35" t="str">
        <f>VLOOKUP($A35,Table1014161817[],7,0)</f>
        <v>Male</v>
      </c>
      <c r="G35" s="63">
        <f>VLOOKUP($A35,Table1014161817[],9,0)</f>
        <v>3</v>
      </c>
    </row>
    <row r="36" spans="1:7" x14ac:dyDescent="0.35">
      <c r="A36" t="s">
        <v>14</v>
      </c>
      <c r="B36" t="str">
        <f>VLOOKUP(A36,Table1014161817[],2,0)</f>
        <v>Alice Brown</v>
      </c>
      <c r="C36" t="str">
        <f>VLOOKUP(A36,Table1014161817[],4,0)</f>
        <v>India</v>
      </c>
      <c r="D36">
        <f>VLOOKUP($A36,Table1014161817[],5,0)</f>
        <v>78421</v>
      </c>
      <c r="E36">
        <f>VLOOKUP($A36,Table1014161817[],6,0)</f>
        <v>78421</v>
      </c>
      <c r="F36" t="str">
        <f>VLOOKUP($A36,Table1014161817[],7,0)</f>
        <v>Female</v>
      </c>
      <c r="G36" s="63">
        <f>VLOOKUP($A36,Table1014161817[],9,0)</f>
        <v>2</v>
      </c>
    </row>
    <row r="37" spans="1:7" x14ac:dyDescent="0.35">
      <c r="A37" t="s">
        <v>87</v>
      </c>
      <c r="B37" t="str">
        <f>VLOOKUP(A37,Table1014161817[],2,0)</f>
        <v>Sam Wilson</v>
      </c>
      <c r="C37" t="str">
        <f>VLOOKUP(A37,Table1014161817[],4,0)</f>
        <v>UK</v>
      </c>
      <c r="D37">
        <f>VLOOKUP($A37,Table1014161817[],5,0)</f>
        <v>78245</v>
      </c>
      <c r="E37">
        <f>VLOOKUP($A37,Table1014161817[],6,0)</f>
        <v>78245</v>
      </c>
      <c r="F37" t="str">
        <f>VLOOKUP($A37,Table1014161817[],7,0)</f>
        <v>Male</v>
      </c>
      <c r="G37" s="63">
        <f>VLOOKUP($A37,Table1014161817[],9,0)</f>
        <v>2</v>
      </c>
    </row>
    <row r="38" spans="1:7" x14ac:dyDescent="0.35">
      <c r="A38" t="s">
        <v>78</v>
      </c>
      <c r="B38" t="str">
        <f>VLOOKUP(A38,Table1014161817[],2,0)</f>
        <v>Bob Johnson</v>
      </c>
      <c r="C38" t="str">
        <f>VLOOKUP(A38,Table1014161817[],4,0)</f>
        <v>India</v>
      </c>
      <c r="D38">
        <f>VLOOKUP($A38,Table1014161817[],5,0)</f>
        <v>77096</v>
      </c>
      <c r="E38">
        <f>VLOOKUP($A38,Table1014161817[],6,0)</f>
        <v>77096</v>
      </c>
      <c r="F38" t="str">
        <f>VLOOKUP($A38,Table1014161817[],7,0)</f>
        <v>Male</v>
      </c>
      <c r="G38" s="63">
        <f>VLOOKUP($A38,Table1014161817[],9,0)</f>
        <v>1</v>
      </c>
    </row>
    <row r="39" spans="1:7" x14ac:dyDescent="0.35">
      <c r="A39" t="s">
        <v>35</v>
      </c>
      <c r="B39" t="str">
        <f>VLOOKUP(A39,Table1014161817[],2,0)</f>
        <v>Eve Adams</v>
      </c>
      <c r="C39" t="str">
        <f>VLOOKUP(A39,Table1014161817[],4,0)</f>
        <v>Germany</v>
      </c>
      <c r="D39">
        <f>VLOOKUP($A39,Table1014161817[],5,0)</f>
        <v>76518</v>
      </c>
      <c r="E39">
        <f>VLOOKUP($A39,Table1014161817[],6,0)</f>
        <v>76518</v>
      </c>
      <c r="F39" t="str">
        <f>VLOOKUP($A39,Table1014161817[],7,0)</f>
        <v>Female</v>
      </c>
      <c r="G39" s="63">
        <f>VLOOKUP($A39,Table1014161817[],9,0)</f>
        <v>2</v>
      </c>
    </row>
    <row r="40" spans="1:7" x14ac:dyDescent="0.35">
      <c r="A40" t="s">
        <v>102</v>
      </c>
      <c r="B40" t="str">
        <f>VLOOKUP(A40,Table1014161817[],2,0)</f>
        <v>Alice Brown</v>
      </c>
      <c r="C40" t="str">
        <f>VLOOKUP(A40,Table1014161817[],4,0)</f>
        <v>USA</v>
      </c>
      <c r="D40">
        <f>VLOOKUP($A40,Table1014161817[],5,0)</f>
        <v>76238</v>
      </c>
      <c r="E40">
        <f>VLOOKUP($A40,Table1014161817[],6,0)</f>
        <v>76238</v>
      </c>
      <c r="F40" t="str">
        <f>VLOOKUP($A40,Table1014161817[],7,0)</f>
        <v>Male</v>
      </c>
      <c r="G40" s="63">
        <f>VLOOKUP($A40,Table1014161817[],9,0)</f>
        <v>4</v>
      </c>
    </row>
    <row r="41" spans="1:7" x14ac:dyDescent="0.35">
      <c r="A41" t="s">
        <v>63</v>
      </c>
      <c r="B41" t="str">
        <f>VLOOKUP(A41,Table1014161817[],2,0)</f>
        <v>Bob Johnson</v>
      </c>
      <c r="C41" t="str">
        <f>VLOOKUP(A41,Table1014161817[],4,0)</f>
        <v>UK</v>
      </c>
      <c r="D41">
        <f>VLOOKUP($A41,Table1014161817[],5,0)</f>
        <v>75633</v>
      </c>
      <c r="E41">
        <f>VLOOKUP($A41,Table1014161817[],6,0)</f>
        <v>75633</v>
      </c>
      <c r="F41" t="str">
        <f>VLOOKUP($A41,Table1014161817[],7,0)</f>
        <v>Male</v>
      </c>
      <c r="G41" s="63">
        <f>VLOOKUP($A41,Table1014161817[],9,0)</f>
        <v>5</v>
      </c>
    </row>
    <row r="42" spans="1:7" x14ac:dyDescent="0.35">
      <c r="A42" t="s">
        <v>64</v>
      </c>
      <c r="B42" t="str">
        <f>VLOOKUP(A42,Table1014161817[],2,0)</f>
        <v>Chris Lee</v>
      </c>
      <c r="C42" t="str">
        <f>VLOOKUP(A42,Table1014161817[],4,0)</f>
        <v>USA</v>
      </c>
      <c r="D42">
        <f>VLOOKUP($A42,Table1014161817[],5,0)</f>
        <v>74815</v>
      </c>
      <c r="E42">
        <f>VLOOKUP($A42,Table1014161817[],6,0)</f>
        <v>74815</v>
      </c>
      <c r="F42" t="str">
        <f>VLOOKUP($A42,Table1014161817[],7,0)</f>
        <v>Female</v>
      </c>
      <c r="G42" s="63">
        <f>VLOOKUP($A42,Table1014161817[],9,0)</f>
        <v>5</v>
      </c>
    </row>
    <row r="43" spans="1:7" x14ac:dyDescent="0.35">
      <c r="A43" t="s">
        <v>27</v>
      </c>
      <c r="B43" t="str">
        <f>VLOOKUP(A43,Table1014161817[],2,0)</f>
        <v>Alice Brown</v>
      </c>
      <c r="C43" t="str">
        <f>VLOOKUP(A43,Table1014161817[],4,0)</f>
        <v>UK</v>
      </c>
      <c r="D43">
        <f>VLOOKUP($A43,Table1014161817[],5,0)</f>
        <v>73602</v>
      </c>
      <c r="E43">
        <f>VLOOKUP($A43,Table1014161817[],6,0)</f>
        <v>73602</v>
      </c>
      <c r="F43" t="str">
        <f>VLOOKUP($A43,Table1014161817[],7,0)</f>
        <v>Male</v>
      </c>
      <c r="G43" s="63">
        <f>VLOOKUP($A43,Table1014161817[],9,0)</f>
        <v>3</v>
      </c>
    </row>
    <row r="44" spans="1:7" x14ac:dyDescent="0.35">
      <c r="A44" t="s">
        <v>126</v>
      </c>
      <c r="B44" t="str">
        <f>VLOOKUP(A44,Table1014161817[],2,0)</f>
        <v>Bob Johnson</v>
      </c>
      <c r="C44" t="str">
        <f>VLOOKUP(A44,Table1014161817[],4,0)</f>
        <v>Unknown</v>
      </c>
      <c r="D44">
        <f>VLOOKUP($A44,Table1014161817[],5,0)</f>
        <v>73483</v>
      </c>
      <c r="E44">
        <f>VLOOKUP($A44,Table1014161817[],6,0)</f>
        <v>73483</v>
      </c>
      <c r="F44" t="str">
        <f>VLOOKUP($A44,Table1014161817[],7,0)</f>
        <v>Male</v>
      </c>
      <c r="G44" s="63">
        <f>VLOOKUP($A44,Table1014161817[],9,0)</f>
        <v>1</v>
      </c>
    </row>
    <row r="45" spans="1:7" x14ac:dyDescent="0.35">
      <c r="A45" t="s">
        <v>105</v>
      </c>
      <c r="B45" t="str">
        <f>VLOOKUP(A45,Table1014161817[],2,0)</f>
        <v>Jane Smith</v>
      </c>
      <c r="C45" t="str">
        <f>VLOOKUP(A45,Table1014161817[],4,0)</f>
        <v>USA</v>
      </c>
      <c r="D45">
        <f>VLOOKUP($A45,Table1014161817[],5,0)</f>
        <v>72939</v>
      </c>
      <c r="E45">
        <f>VLOOKUP($A45,Table1014161817[],6,0)</f>
        <v>72939</v>
      </c>
      <c r="F45" t="str">
        <f>VLOOKUP($A45,Table1014161817[],7,0)</f>
        <v>Male</v>
      </c>
      <c r="G45" s="63">
        <f>VLOOKUP($A45,Table1014161817[],9,0)</f>
        <v>3</v>
      </c>
    </row>
    <row r="46" spans="1:7" x14ac:dyDescent="0.35">
      <c r="A46" t="s">
        <v>135</v>
      </c>
      <c r="B46" t="str">
        <f>VLOOKUP(A46,Table1014161817[],2,0)</f>
        <v>Bob Johnson</v>
      </c>
      <c r="C46" t="str">
        <f>VLOOKUP(A46,Table1014161817[],4,0)</f>
        <v>Germany</v>
      </c>
      <c r="D46">
        <f>VLOOKUP($A46,Table1014161817[],5,0)</f>
        <v>71494</v>
      </c>
      <c r="E46">
        <f>VLOOKUP($A46,Table1014161817[],6,0)</f>
        <v>71494</v>
      </c>
      <c r="F46" t="str">
        <f>VLOOKUP($A46,Table1014161817[],7,0)</f>
        <v>Male</v>
      </c>
      <c r="G46" s="63">
        <f>VLOOKUP($A46,Table1014161817[],9,0)</f>
        <v>3</v>
      </c>
    </row>
    <row r="47" spans="1:7" x14ac:dyDescent="0.35">
      <c r="A47" t="s">
        <v>107</v>
      </c>
      <c r="B47" t="str">
        <f>VLOOKUP(A47,Table1014161817[],2,0)</f>
        <v>Bob Johnson</v>
      </c>
      <c r="C47" t="str">
        <f>VLOOKUP(A47,Table1014161817[],4,0)</f>
        <v>Australia</v>
      </c>
      <c r="D47">
        <f>VLOOKUP($A47,Table1014161817[],5,0)</f>
        <v>70470</v>
      </c>
      <c r="E47">
        <f>VLOOKUP($A47,Table1014161817[],6,0)</f>
        <v>70470</v>
      </c>
      <c r="F47" t="str">
        <f>VLOOKUP($A47,Table1014161817[],7,0)</f>
        <v>Male</v>
      </c>
      <c r="G47" s="63">
        <f>VLOOKUP($A47,Table1014161817[],9,0)</f>
        <v>3</v>
      </c>
    </row>
    <row r="48" spans="1:7" x14ac:dyDescent="0.35">
      <c r="A48" t="s">
        <v>108</v>
      </c>
      <c r="B48" t="str">
        <f>VLOOKUP(A48,Table1014161817[],2,0)</f>
        <v>Eve Adams</v>
      </c>
      <c r="C48" t="str">
        <f>VLOOKUP(A48,Table1014161817[],4,0)</f>
        <v>USA</v>
      </c>
      <c r="D48">
        <f>VLOOKUP($A48,Table1014161817[],5,0)</f>
        <v>70096</v>
      </c>
      <c r="E48">
        <f>VLOOKUP($A48,Table1014161817[],6,0)</f>
        <v>70096</v>
      </c>
      <c r="F48" t="str">
        <f>VLOOKUP($A48,Table1014161817[],7,0)</f>
        <v>Male</v>
      </c>
      <c r="G48" s="63">
        <f>VLOOKUP($A48,Table1014161817[],9,0)</f>
        <v>4</v>
      </c>
    </row>
    <row r="49" spans="1:7" x14ac:dyDescent="0.35">
      <c r="A49" t="s">
        <v>86</v>
      </c>
      <c r="B49" t="str">
        <f>VLOOKUP(A49,Table1014161817[],2,0)</f>
        <v>Jane Smith</v>
      </c>
      <c r="C49" t="str">
        <f>VLOOKUP(A49,Table1014161817[],4,0)</f>
        <v>UK</v>
      </c>
      <c r="D49">
        <f>VLOOKUP($A49,Table1014161817[],5,0)</f>
        <v>69166</v>
      </c>
      <c r="E49">
        <f>VLOOKUP($A49,Table1014161817[],6,0)</f>
        <v>69166</v>
      </c>
      <c r="F49" t="str">
        <f>VLOOKUP($A49,Table1014161817[],7,0)</f>
        <v>Female</v>
      </c>
      <c r="G49" s="63">
        <f>VLOOKUP($A49,Table1014161817[],9,0)</f>
        <v>1</v>
      </c>
    </row>
    <row r="50" spans="1:7" x14ac:dyDescent="0.35">
      <c r="A50" t="s">
        <v>28</v>
      </c>
      <c r="B50" t="str">
        <f>VLOOKUP(A50,Table1014161817[],2,0)</f>
        <v>Eve Adams</v>
      </c>
      <c r="C50" t="str">
        <f>VLOOKUP(A50,Table1014161817[],4,0)</f>
        <v>India</v>
      </c>
      <c r="D50">
        <f>VLOOKUP($A50,Table1014161817[],5,0)</f>
        <v>67531</v>
      </c>
      <c r="E50">
        <f>VLOOKUP($A50,Table1014161817[],6,0)</f>
        <v>67531</v>
      </c>
      <c r="F50" t="str">
        <f>VLOOKUP($A50,Table1014161817[],7,0)</f>
        <v>Female</v>
      </c>
      <c r="G50" s="63">
        <f>VLOOKUP($A50,Table1014161817[],9,0)</f>
        <v>5</v>
      </c>
    </row>
    <row r="51" spans="1:7" x14ac:dyDescent="0.35">
      <c r="A51" t="s">
        <v>29</v>
      </c>
      <c r="B51" t="str">
        <f>VLOOKUP(A51,Table1014161817[],2,0)</f>
        <v>Jane Smith</v>
      </c>
      <c r="C51" t="str">
        <f>VLOOKUP(A51,Table1014161817[],4,0)</f>
        <v>USA</v>
      </c>
      <c r="D51">
        <f>VLOOKUP($A51,Table1014161817[],5,0)</f>
        <v>66982.875</v>
      </c>
      <c r="E51">
        <f>VLOOKUP($A51,Table1014161817[],6,0)</f>
        <v>69408.5625</v>
      </c>
      <c r="F51" t="str">
        <f>VLOOKUP($A51,Table1014161817[],7,0)</f>
        <v>Male</v>
      </c>
      <c r="G51" s="63">
        <f>VLOOKUP($A51,Table1014161817[],9,0)</f>
        <v>2</v>
      </c>
    </row>
    <row r="52" spans="1:7" x14ac:dyDescent="0.35">
      <c r="A52" t="s">
        <v>117</v>
      </c>
      <c r="B52" t="str">
        <f>VLOOKUP(A52,Table1014161817[],2,0)</f>
        <v>Sam Wilson</v>
      </c>
      <c r="C52" t="str">
        <f>VLOOKUP(A52,Table1014161817[],4,0)</f>
        <v>Unknown</v>
      </c>
      <c r="D52">
        <f>VLOOKUP($A52,Table1014161817[],5,0)</f>
        <v>66761</v>
      </c>
      <c r="E52">
        <f>VLOOKUP($A52,Table1014161817[],6,0)</f>
        <v>66761</v>
      </c>
      <c r="F52" t="str">
        <f>VLOOKUP($A52,Table1014161817[],7,0)</f>
        <v>Male</v>
      </c>
      <c r="G52" s="63">
        <f>VLOOKUP($A52,Table1014161817[],9,0)</f>
        <v>1</v>
      </c>
    </row>
    <row r="53" spans="1:7" x14ac:dyDescent="0.35">
      <c r="A53" t="s">
        <v>129</v>
      </c>
      <c r="B53" t="str">
        <f>VLOOKUP(A53,Table1014161817[],2,0)</f>
        <v>Unknown</v>
      </c>
      <c r="C53" t="str">
        <f>VLOOKUP(A53,Table1014161817[],4,0)</f>
        <v>USA</v>
      </c>
      <c r="D53">
        <f>VLOOKUP($A53,Table1014161817[],5,0)</f>
        <v>66636.333333333328</v>
      </c>
      <c r="E53">
        <f>VLOOKUP($A53,Table1014161817[],6,0)</f>
        <v>69408.5625</v>
      </c>
      <c r="F53" t="str">
        <f>VLOOKUP($A53,Table1014161817[],7,0)</f>
        <v>Unknown</v>
      </c>
      <c r="G53" s="63">
        <f>VLOOKUP($A53,Table1014161817[],9,0)</f>
        <v>5</v>
      </c>
    </row>
    <row r="54" spans="1:7" x14ac:dyDescent="0.35">
      <c r="A54" t="s">
        <v>109</v>
      </c>
      <c r="B54" t="str">
        <f>VLOOKUP(A54,Table1014161817[],2,0)</f>
        <v>Bob Johnson</v>
      </c>
      <c r="C54" t="str">
        <f>VLOOKUP(A54,Table1014161817[],4,0)</f>
        <v>Unknown</v>
      </c>
      <c r="D54">
        <f>VLOOKUP($A54,Table1014161817[],5,0)</f>
        <v>66344</v>
      </c>
      <c r="E54">
        <f>VLOOKUP($A54,Table1014161817[],6,0)</f>
        <v>67279.75</v>
      </c>
      <c r="F54" t="str">
        <f>VLOOKUP($A54,Table1014161817[],7,0)</f>
        <v>Male</v>
      </c>
      <c r="G54" s="63">
        <f>VLOOKUP($A54,Table1014161817[],9,0)</f>
        <v>2</v>
      </c>
    </row>
    <row r="55" spans="1:7" x14ac:dyDescent="0.35">
      <c r="A55" t="s">
        <v>69</v>
      </c>
      <c r="B55" t="str">
        <f>VLOOKUP(A55,Table1014161817[],2,0)</f>
        <v>Unknown</v>
      </c>
      <c r="C55" t="str">
        <f>VLOOKUP(A55,Table1014161817[],4,0)</f>
        <v>Germany</v>
      </c>
      <c r="D55">
        <f>VLOOKUP($A55,Table1014161817[],5,0)</f>
        <v>66344</v>
      </c>
      <c r="E55">
        <f>VLOOKUP($A55,Table1014161817[],6,0)</f>
        <v>71793.71428571429</v>
      </c>
      <c r="F55" t="str">
        <f>VLOOKUP($A55,Table1014161817[],7,0)</f>
        <v>Unknown</v>
      </c>
      <c r="G55" s="63">
        <f>VLOOKUP($A55,Table1014161817[],9,0)</f>
        <v>5</v>
      </c>
    </row>
    <row r="56" spans="1:7" x14ac:dyDescent="0.35">
      <c r="A56" t="s">
        <v>88</v>
      </c>
      <c r="B56" t="str">
        <f>VLOOKUP(A56,Table1014161817[],2,0)</f>
        <v>Chris Lee</v>
      </c>
      <c r="C56" t="str">
        <f>VLOOKUP(A56,Table1014161817[],4,0)</f>
        <v>USA</v>
      </c>
      <c r="D56">
        <f>VLOOKUP($A56,Table1014161817[],5,0)</f>
        <v>66079</v>
      </c>
      <c r="E56">
        <f>VLOOKUP($A56,Table1014161817[],6,0)</f>
        <v>66079</v>
      </c>
      <c r="F56" t="str">
        <f>VLOOKUP($A56,Table1014161817[],7,0)</f>
        <v>Male</v>
      </c>
      <c r="G56" s="63">
        <f>VLOOKUP($A56,Table1014161817[],9,0)</f>
        <v>2</v>
      </c>
    </row>
    <row r="57" spans="1:7" x14ac:dyDescent="0.35">
      <c r="A57" t="s">
        <v>49</v>
      </c>
      <c r="B57" t="str">
        <f>VLOOKUP(A57,Table1014161817[],2,0)</f>
        <v>Bob Johnson</v>
      </c>
      <c r="C57" t="str">
        <f>VLOOKUP(A57,Table1014161817[],4,0)</f>
        <v>UK</v>
      </c>
      <c r="D57">
        <f>VLOOKUP($A57,Table1014161817[],5,0)</f>
        <v>66008.307692307688</v>
      </c>
      <c r="E57">
        <f>VLOOKUP($A57,Table1014161817[],6,0)</f>
        <v>67008.2</v>
      </c>
      <c r="F57" t="str">
        <f>VLOOKUP($A57,Table1014161817[],7,0)</f>
        <v>Female</v>
      </c>
      <c r="G57" s="63">
        <f>VLOOKUP($A57,Table1014161817[],9,0)</f>
        <v>4</v>
      </c>
    </row>
    <row r="58" spans="1:7" x14ac:dyDescent="0.35">
      <c r="A58" t="s">
        <v>9</v>
      </c>
      <c r="B58" t="str">
        <f>VLOOKUP(A58,Table1014161817[],2,0)</f>
        <v>Unknown</v>
      </c>
      <c r="C58" t="str">
        <f>VLOOKUP(A58,Table1014161817[],4,0)</f>
        <v>Unknown</v>
      </c>
      <c r="D58">
        <f>VLOOKUP($A58,Table1014161817[],5,0)</f>
        <v>66008.307692307688</v>
      </c>
      <c r="E58">
        <f>VLOOKUP($A58,Table1014161817[],6,0)</f>
        <v>69175.76470588235</v>
      </c>
      <c r="F58" t="str">
        <f>VLOOKUP($A58,Table1014161817[],7,0)</f>
        <v>Unknown</v>
      </c>
      <c r="G58" s="63">
        <f>VLOOKUP($A58,Table1014161817[],9,0)</f>
        <v>1</v>
      </c>
    </row>
    <row r="59" spans="1:7" x14ac:dyDescent="0.35">
      <c r="A59" t="s">
        <v>156</v>
      </c>
      <c r="B59" t="str">
        <f>VLOOKUP(A59,Table1014161817[],2,0)</f>
        <v>Bob Johnson</v>
      </c>
      <c r="C59" t="str">
        <f>VLOOKUP(A59,Table1014161817[],4,0)</f>
        <v>Australia</v>
      </c>
      <c r="D59">
        <f>VLOOKUP($A59,Table1014161817[],5,0)</f>
        <v>65270</v>
      </c>
      <c r="E59">
        <f>VLOOKUP($A59,Table1014161817[],6,0)</f>
        <v>65270</v>
      </c>
      <c r="F59" t="str">
        <f>VLOOKUP($A59,Table1014161817[],7,0)</f>
        <v>Male</v>
      </c>
      <c r="G59" s="63">
        <f>VLOOKUP($A59,Table1014161817[],9,0)</f>
        <v>1</v>
      </c>
    </row>
    <row r="60" spans="1:7" x14ac:dyDescent="0.35">
      <c r="A60" t="s">
        <v>51</v>
      </c>
      <c r="B60" t="str">
        <f>VLOOKUP(A60,Table1014161817[],2,0)</f>
        <v>Bob Johnson</v>
      </c>
      <c r="C60" t="str">
        <f>VLOOKUP(A60,Table1014161817[],4,0)</f>
        <v>Australia</v>
      </c>
      <c r="D60">
        <f>VLOOKUP($A60,Table1014161817[],5,0)</f>
        <v>64913</v>
      </c>
      <c r="E60">
        <f>VLOOKUP($A60,Table1014161817[],6,0)</f>
        <v>64913</v>
      </c>
      <c r="F60" t="str">
        <f>VLOOKUP($A60,Table1014161817[],7,0)</f>
        <v>Female</v>
      </c>
      <c r="G60" s="63">
        <f>VLOOKUP($A60,Table1014161817[],9,0)</f>
        <v>1</v>
      </c>
    </row>
    <row r="61" spans="1:7" x14ac:dyDescent="0.35">
      <c r="A61" t="s">
        <v>46</v>
      </c>
      <c r="B61" t="str">
        <f>VLOOKUP(A61,Table1014161817[],2,0)</f>
        <v>Alice Brown</v>
      </c>
      <c r="C61" t="str">
        <f>VLOOKUP(A61,Table1014161817[],4,0)</f>
        <v>Unknown</v>
      </c>
      <c r="D61">
        <f>VLOOKUP($A61,Table1014161817[],5,0)</f>
        <v>64796</v>
      </c>
      <c r="E61">
        <f>VLOOKUP($A61,Table1014161817[],6,0)</f>
        <v>64796</v>
      </c>
      <c r="F61" t="str">
        <f>VLOOKUP($A61,Table1014161817[],7,0)</f>
        <v>Male</v>
      </c>
      <c r="G61" s="63">
        <f>VLOOKUP($A61,Table1014161817[],9,0)</f>
        <v>3</v>
      </c>
    </row>
    <row r="62" spans="1:7" x14ac:dyDescent="0.35">
      <c r="A62" t="s">
        <v>19</v>
      </c>
      <c r="B62" t="str">
        <f>VLOOKUP(A62,Table1014161817[],2,0)</f>
        <v>Sam Wilson</v>
      </c>
      <c r="C62" t="str">
        <f>VLOOKUP(A62,Table1014161817[],4,0)</f>
        <v>UK</v>
      </c>
      <c r="D62">
        <f>VLOOKUP($A62,Table1014161817[],5,0)</f>
        <v>64247</v>
      </c>
      <c r="E62">
        <f>VLOOKUP($A62,Table1014161817[],6,0)</f>
        <v>64247</v>
      </c>
      <c r="F62" t="str">
        <f>VLOOKUP($A62,Table1014161817[],7,0)</f>
        <v>Female</v>
      </c>
      <c r="G62" s="63">
        <f>VLOOKUP($A62,Table1014161817[],9,0)</f>
        <v>1</v>
      </c>
    </row>
    <row r="63" spans="1:7" x14ac:dyDescent="0.35">
      <c r="A63" t="s">
        <v>13</v>
      </c>
      <c r="B63" t="str">
        <f>VLOOKUP(A63,Table1014161817[],2,0)</f>
        <v>Jane Smith</v>
      </c>
      <c r="C63" t="str">
        <f>VLOOKUP(A63,Table1014161817[],4,0)</f>
        <v>Germany</v>
      </c>
      <c r="D63">
        <f>VLOOKUP($A63,Table1014161817[],5,0)</f>
        <v>64120</v>
      </c>
      <c r="E63">
        <f>VLOOKUP($A63,Table1014161817[],6,0)</f>
        <v>64120</v>
      </c>
      <c r="F63" t="str">
        <f>VLOOKUP($A63,Table1014161817[],7,0)</f>
        <v>Male</v>
      </c>
      <c r="G63" s="63">
        <f>VLOOKUP($A63,Table1014161817[],9,0)</f>
        <v>1</v>
      </c>
    </row>
    <row r="64" spans="1:7" x14ac:dyDescent="0.35">
      <c r="A64" t="s">
        <v>97</v>
      </c>
      <c r="B64" t="str">
        <f>VLOOKUP(A64,Table1014161817[],2,0)</f>
        <v>Chris Lee</v>
      </c>
      <c r="C64" t="str">
        <f>VLOOKUP(A64,Table1014161817[],4,0)</f>
        <v>Unknown</v>
      </c>
      <c r="D64">
        <f>VLOOKUP($A64,Table1014161817[],5,0)</f>
        <v>63434</v>
      </c>
      <c r="E64">
        <f>VLOOKUP($A64,Table1014161817[],6,0)</f>
        <v>63434</v>
      </c>
      <c r="F64" t="str">
        <f>VLOOKUP($A64,Table1014161817[],7,0)</f>
        <v>Male</v>
      </c>
      <c r="G64" s="63">
        <f>VLOOKUP($A64,Table1014161817[],9,0)</f>
        <v>3</v>
      </c>
    </row>
    <row r="65" spans="1:7" x14ac:dyDescent="0.35">
      <c r="A65" t="s">
        <v>11</v>
      </c>
      <c r="B65" t="str">
        <f>VLOOKUP(A65,Table1014161817[],2,0)</f>
        <v>Alice Brown</v>
      </c>
      <c r="C65" t="str">
        <f>VLOOKUP(A65,Table1014161817[],4,0)</f>
        <v>Germany</v>
      </c>
      <c r="D65">
        <f>VLOOKUP($A65,Table1014161817[],5,0)</f>
        <v>63184</v>
      </c>
      <c r="E65">
        <f>VLOOKUP($A65,Table1014161817[],6,0)</f>
        <v>63184</v>
      </c>
      <c r="F65" t="str">
        <f>VLOOKUP($A65,Table1014161817[],7,0)</f>
        <v>Male</v>
      </c>
      <c r="G65" s="63">
        <f>VLOOKUP($A65,Table1014161817[],9,0)</f>
        <v>2</v>
      </c>
    </row>
    <row r="66" spans="1:7" x14ac:dyDescent="0.35">
      <c r="A66" t="s">
        <v>22</v>
      </c>
      <c r="B66" t="str">
        <f>VLOOKUP(A66,Table1014161817[],2,0)</f>
        <v>Sam Wilson</v>
      </c>
      <c r="C66" t="str">
        <f>VLOOKUP(A66,Table1014161817[],4,0)</f>
        <v>India</v>
      </c>
      <c r="D66">
        <f>VLOOKUP($A66,Table1014161817[],5,0)</f>
        <v>62158</v>
      </c>
      <c r="E66">
        <f>VLOOKUP($A66,Table1014161817[],6,0)</f>
        <v>62158</v>
      </c>
      <c r="F66" t="str">
        <f>VLOOKUP($A66,Table1014161817[],7,0)</f>
        <v>Male</v>
      </c>
      <c r="G66" s="63">
        <f>VLOOKUP($A66,Table1014161817[],9,0)</f>
        <v>4</v>
      </c>
    </row>
    <row r="67" spans="1:7" x14ac:dyDescent="0.35">
      <c r="A67" t="s">
        <v>76</v>
      </c>
      <c r="B67" t="str">
        <f>VLOOKUP(A67,Table1014161817[],2,0)</f>
        <v>Alice Brown</v>
      </c>
      <c r="C67" t="str">
        <f>VLOOKUP(A67,Table1014161817[],4,0)</f>
        <v>India</v>
      </c>
      <c r="D67">
        <f>VLOOKUP($A67,Table1014161817[],5,0)</f>
        <v>61942</v>
      </c>
      <c r="E67">
        <f>VLOOKUP($A67,Table1014161817[],6,0)</f>
        <v>61942</v>
      </c>
      <c r="F67" t="str">
        <f>VLOOKUP($A67,Table1014161817[],7,0)</f>
        <v>Female</v>
      </c>
      <c r="G67" s="63">
        <f>VLOOKUP($A67,Table1014161817[],9,0)</f>
        <v>3</v>
      </c>
    </row>
    <row r="68" spans="1:7" x14ac:dyDescent="0.35">
      <c r="A68" t="s">
        <v>133</v>
      </c>
      <c r="B68" t="str">
        <f>VLOOKUP(A68,Table1014161817[],2,0)</f>
        <v>John Doe</v>
      </c>
      <c r="C68" t="str">
        <f>VLOOKUP(A68,Table1014161817[],4,0)</f>
        <v>Unknown</v>
      </c>
      <c r="D68">
        <f>VLOOKUP($A68,Table1014161817[],5,0)</f>
        <v>60034</v>
      </c>
      <c r="E68">
        <f>VLOOKUP($A68,Table1014161817[],6,0)</f>
        <v>60034</v>
      </c>
      <c r="F68" t="str">
        <f>VLOOKUP($A68,Table1014161817[],7,0)</f>
        <v>Female</v>
      </c>
      <c r="G68" s="63">
        <f>VLOOKUP($A68,Table1014161817[],9,0)</f>
        <v>1</v>
      </c>
    </row>
    <row r="69" spans="1:7" x14ac:dyDescent="0.35">
      <c r="A69" t="s">
        <v>65</v>
      </c>
      <c r="B69" t="str">
        <f>VLOOKUP(A69,Table1014161817[],2,0)</f>
        <v>John Doe</v>
      </c>
      <c r="C69" t="str">
        <f>VLOOKUP(A69,Table1014161817[],4,0)</f>
        <v>Australia</v>
      </c>
      <c r="D69">
        <f>VLOOKUP($A69,Table1014161817[],5,0)</f>
        <v>60011</v>
      </c>
      <c r="E69">
        <f>VLOOKUP($A69,Table1014161817[],6,0)</f>
        <v>60011</v>
      </c>
      <c r="F69" t="str">
        <f>VLOOKUP($A69,Table1014161817[],7,0)</f>
        <v>Male</v>
      </c>
      <c r="G69" s="63">
        <f>VLOOKUP($A69,Table1014161817[],9,0)</f>
        <v>1</v>
      </c>
    </row>
    <row r="70" spans="1:7" x14ac:dyDescent="0.35">
      <c r="A70" t="s">
        <v>23</v>
      </c>
      <c r="B70" t="str">
        <f>VLOOKUP(A70,Table1014161817[],2,0)</f>
        <v>Jane Smith</v>
      </c>
      <c r="C70" t="str">
        <f>VLOOKUP(A70,Table1014161817[],4,0)</f>
        <v>Unknown</v>
      </c>
      <c r="D70">
        <f>VLOOKUP($A70,Table1014161817[],5,0)</f>
        <v>59894</v>
      </c>
      <c r="E70">
        <f>VLOOKUP($A70,Table1014161817[],6,0)</f>
        <v>59894</v>
      </c>
      <c r="F70" t="str">
        <f>VLOOKUP($A70,Table1014161817[],7,0)</f>
        <v>Male</v>
      </c>
      <c r="G70" s="63">
        <f>VLOOKUP($A70,Table1014161817[],9,0)</f>
        <v>2</v>
      </c>
    </row>
    <row r="71" spans="1:7" x14ac:dyDescent="0.35">
      <c r="A71" t="s">
        <v>56</v>
      </c>
      <c r="B71" t="str">
        <f>VLOOKUP(A71,Table1014161817[],2,0)</f>
        <v>Chris Lee</v>
      </c>
      <c r="C71" t="str">
        <f>VLOOKUP(A71,Table1014161817[],4,0)</f>
        <v>India</v>
      </c>
      <c r="D71">
        <f>VLOOKUP($A71,Table1014161817[],5,0)</f>
        <v>58245</v>
      </c>
      <c r="E71">
        <f>VLOOKUP($A71,Table1014161817[],6,0)</f>
        <v>58245</v>
      </c>
      <c r="F71" t="str">
        <f>VLOOKUP($A71,Table1014161817[],7,0)</f>
        <v>Male</v>
      </c>
      <c r="G71" s="63">
        <f>VLOOKUP($A71,Table1014161817[],9,0)</f>
        <v>4</v>
      </c>
    </row>
    <row r="72" spans="1:7" x14ac:dyDescent="0.35">
      <c r="A72" t="s">
        <v>10</v>
      </c>
      <c r="B72" t="str">
        <f>VLOOKUP(A72,Table1014161817[],2,0)</f>
        <v>Eve Adams</v>
      </c>
      <c r="C72" t="str">
        <f>VLOOKUP(A72,Table1014161817[],4,0)</f>
        <v>Germany</v>
      </c>
      <c r="D72">
        <f>VLOOKUP($A72,Table1014161817[],5,0)</f>
        <v>54255</v>
      </c>
      <c r="E72">
        <f>VLOOKUP($A72,Table1014161817[],6,0)</f>
        <v>54255</v>
      </c>
      <c r="F72" t="str">
        <f>VLOOKUP($A72,Table1014161817[],7,0)</f>
        <v>Male</v>
      </c>
      <c r="G72" s="63">
        <f>VLOOKUP($A72,Table1014161817[],9,0)</f>
        <v>1</v>
      </c>
    </row>
    <row r="73" spans="1:7" x14ac:dyDescent="0.35">
      <c r="A73" t="s">
        <v>34</v>
      </c>
      <c r="B73" t="str">
        <f>VLOOKUP(A73,Table1014161817[],2,0)</f>
        <v>Chris Lee</v>
      </c>
      <c r="C73" t="str">
        <f>VLOOKUP(A73,Table1014161817[],4,0)</f>
        <v>Unknown</v>
      </c>
      <c r="D73">
        <f>VLOOKUP($A73,Table1014161817[],5,0)</f>
        <v>52272</v>
      </c>
      <c r="E73">
        <f>VLOOKUP($A73,Table1014161817[],6,0)</f>
        <v>52272</v>
      </c>
      <c r="F73" t="str">
        <f>VLOOKUP($A73,Table1014161817[],7,0)</f>
        <v>Male</v>
      </c>
      <c r="G73" s="63">
        <f>VLOOKUP($A73,Table1014161817[],9,0)</f>
        <v>3</v>
      </c>
    </row>
    <row r="74" spans="1:7" x14ac:dyDescent="0.35">
      <c r="A74" t="s">
        <v>47</v>
      </c>
      <c r="B74" t="str">
        <f>VLOOKUP(A74,Table1014161817[],2,0)</f>
        <v>John Doe</v>
      </c>
      <c r="C74" t="str">
        <f>VLOOKUP(A74,Table1014161817[],4,0)</f>
        <v>UK</v>
      </c>
      <c r="D74">
        <f>VLOOKUP($A74,Table1014161817[],5,0)</f>
        <v>52093</v>
      </c>
      <c r="E74">
        <f>VLOOKUP($A74,Table1014161817[],6,0)</f>
        <v>52093</v>
      </c>
      <c r="F74" t="str">
        <f>VLOOKUP($A74,Table1014161817[],7,0)</f>
        <v>Male</v>
      </c>
      <c r="G74" s="63">
        <f>VLOOKUP($A74,Table1014161817[],9,0)</f>
        <v>5</v>
      </c>
    </row>
    <row r="75" spans="1:7" x14ac:dyDescent="0.35">
      <c r="A75" t="s">
        <v>131</v>
      </c>
      <c r="B75" t="str">
        <f>VLOOKUP(A75,Table1014161817[],2,0)</f>
        <v>Bob Johnson</v>
      </c>
      <c r="C75" t="str">
        <f>VLOOKUP(A75,Table1014161817[],4,0)</f>
        <v>Germany</v>
      </c>
      <c r="D75">
        <f>VLOOKUP($A75,Table1014161817[],5,0)</f>
        <v>52036</v>
      </c>
      <c r="E75">
        <f>VLOOKUP($A75,Table1014161817[],6,0)</f>
        <v>52036</v>
      </c>
      <c r="F75" t="str">
        <f>VLOOKUP($A75,Table1014161817[],7,0)</f>
        <v>Male</v>
      </c>
      <c r="G75" s="63">
        <f>VLOOKUP($A75,Table1014161817[],9,0)</f>
        <v>3</v>
      </c>
    </row>
    <row r="76" spans="1:7" x14ac:dyDescent="0.35">
      <c r="A76" t="s">
        <v>37</v>
      </c>
      <c r="B76" t="str">
        <f>VLOOKUP(A76,Table1014161817[],2,0)</f>
        <v>John Doe</v>
      </c>
      <c r="C76" t="str">
        <f>VLOOKUP(A76,Table1014161817[],4,0)</f>
        <v>UK</v>
      </c>
      <c r="D76">
        <f>VLOOKUP($A76,Table1014161817[],5,0)</f>
        <v>49282</v>
      </c>
      <c r="E76">
        <f>VLOOKUP($A76,Table1014161817[],6,0)</f>
        <v>49282</v>
      </c>
      <c r="F76" t="str">
        <f>VLOOKUP($A76,Table1014161817[],7,0)</f>
        <v>Female</v>
      </c>
      <c r="G76" s="63">
        <f>VLOOKUP($A76,Table1014161817[],9,0)</f>
        <v>2</v>
      </c>
    </row>
    <row r="77" spans="1:7" x14ac:dyDescent="0.35">
      <c r="A77" t="s">
        <v>115</v>
      </c>
      <c r="B77" t="str">
        <f>VLOOKUP(A77,Table1014161817[],2,0)</f>
        <v>Eve Adams</v>
      </c>
      <c r="C77" t="str">
        <f>VLOOKUP(A77,Table1014161817[],4,0)</f>
        <v>Unknown</v>
      </c>
      <c r="D77">
        <f>VLOOKUP($A77,Table1014161817[],5,0)</f>
        <v>48325</v>
      </c>
      <c r="E77">
        <f>VLOOKUP($A77,Table1014161817[],6,0)</f>
        <v>48325</v>
      </c>
      <c r="F77" t="str">
        <f>VLOOKUP($A77,Table1014161817[],7,0)</f>
        <v>Male</v>
      </c>
      <c r="G77" s="63">
        <f>VLOOKUP($A77,Table1014161817[],9,0)</f>
        <v>3</v>
      </c>
    </row>
    <row r="78" spans="1:7" x14ac:dyDescent="0.35">
      <c r="A78" t="s">
        <v>48</v>
      </c>
      <c r="B78" t="str">
        <f>VLOOKUP(A78,Table1014161817[],2,0)</f>
        <v>Chris Lee</v>
      </c>
      <c r="C78" t="str">
        <f>VLOOKUP(A78,Table1014161817[],4,0)</f>
        <v>UK</v>
      </c>
      <c r="D78">
        <f>VLOOKUP($A78,Table1014161817[],5,0)</f>
        <v>48224</v>
      </c>
      <c r="E78">
        <f>VLOOKUP($A78,Table1014161817[],6,0)</f>
        <v>48224</v>
      </c>
      <c r="F78" t="str">
        <f>VLOOKUP($A78,Table1014161817[],7,0)</f>
        <v>Male</v>
      </c>
      <c r="G78" s="63">
        <f>VLOOKUP($A78,Table1014161817[],9,0)</f>
        <v>3</v>
      </c>
    </row>
    <row r="79" spans="1:7" x14ac:dyDescent="0.35">
      <c r="A79" t="s">
        <v>122</v>
      </c>
      <c r="B79" t="str">
        <f>VLOOKUP(A79,Table1014161817[],2,0)</f>
        <v>Alice Brown</v>
      </c>
      <c r="C79" t="str">
        <f>VLOOKUP(A79,Table1014161817[],4,0)</f>
        <v>USA</v>
      </c>
      <c r="D79">
        <f>VLOOKUP($A79,Table1014161817[],5,0)</f>
        <v>47653</v>
      </c>
      <c r="E79">
        <f>VLOOKUP($A79,Table1014161817[],6,0)</f>
        <v>47653</v>
      </c>
      <c r="F79" t="str">
        <f>VLOOKUP($A79,Table1014161817[],7,0)</f>
        <v>Male</v>
      </c>
      <c r="G79" s="63">
        <f>VLOOKUP($A79,Table1014161817[],9,0)</f>
        <v>1</v>
      </c>
    </row>
    <row r="80" spans="1:7" x14ac:dyDescent="0.35">
      <c r="A80" t="s">
        <v>130</v>
      </c>
      <c r="B80" t="str">
        <f>VLOOKUP(A80,Table1014161817[],2,0)</f>
        <v>Chris Lee</v>
      </c>
      <c r="C80" t="str">
        <f>VLOOKUP(A80,Table1014161817[],4,0)</f>
        <v>USA</v>
      </c>
      <c r="D80">
        <f>VLOOKUP($A80,Table1014161817[],5,0)</f>
        <v>45676</v>
      </c>
      <c r="E80">
        <f>VLOOKUP($A80,Table1014161817[],6,0)</f>
        <v>45676</v>
      </c>
      <c r="F80" t="str">
        <f>VLOOKUP($A80,Table1014161817[],7,0)</f>
        <v>Male</v>
      </c>
      <c r="G80" s="63">
        <f>VLOOKUP($A80,Table1014161817[],9,0)</f>
        <v>2</v>
      </c>
    </row>
    <row r="81" spans="1:7" x14ac:dyDescent="0.35">
      <c r="A81" t="s">
        <v>91</v>
      </c>
      <c r="B81" t="str">
        <f>VLOOKUP(A81,Table1014161817[],2,0)</f>
        <v>Eve Adams</v>
      </c>
      <c r="C81" t="str">
        <f>VLOOKUP(A81,Table1014161817[],4,0)</f>
        <v>UK</v>
      </c>
      <c r="D81">
        <f>VLOOKUP($A81,Table1014161817[],5,0)</f>
        <v>42262</v>
      </c>
      <c r="E81">
        <f>VLOOKUP($A81,Table1014161817[],6,0)</f>
        <v>42262</v>
      </c>
      <c r="F81" t="str">
        <f>VLOOKUP($A81,Table1014161817[],7,0)</f>
        <v>Male</v>
      </c>
      <c r="G81" s="63">
        <f>VLOOKUP($A81,Table1014161817[],9,0)</f>
        <v>1</v>
      </c>
    </row>
    <row r="82" spans="1:7" x14ac:dyDescent="0.35">
      <c r="A82" t="s">
        <v>111</v>
      </c>
      <c r="B82" t="str">
        <f>VLOOKUP(A82,Table1014161817[],2,0)</f>
        <v>Alice Brown</v>
      </c>
      <c r="C82" t="str">
        <f>VLOOKUP(A82,Table1014161817[],4,0)</f>
        <v>Germany</v>
      </c>
      <c r="D82">
        <f>VLOOKUP($A82,Table1014161817[],5,0)</f>
        <v>42096</v>
      </c>
      <c r="E82">
        <f>VLOOKUP($A82,Table1014161817[],6,0)</f>
        <v>42096</v>
      </c>
      <c r="F82" t="str">
        <f>VLOOKUP($A82,Table1014161817[],7,0)</f>
        <v>Female</v>
      </c>
      <c r="G82" s="63">
        <f>VLOOKUP($A82,Table1014161817[],9,0)</f>
        <v>3</v>
      </c>
    </row>
    <row r="83" spans="1:7" x14ac:dyDescent="0.35">
      <c r="A83" t="s">
        <v>36</v>
      </c>
      <c r="B83" t="str">
        <f>VLOOKUP(A83,Table1014161817[],2,0)</f>
        <v>Alice Brown</v>
      </c>
      <c r="C83" t="str">
        <f>VLOOKUP(A83,Table1014161817[],4,0)</f>
        <v>UK</v>
      </c>
      <c r="D83">
        <f>VLOOKUP($A83,Table1014161817[],5,0)</f>
        <v>41448</v>
      </c>
      <c r="E83">
        <f>VLOOKUP($A83,Table1014161817[],6,0)</f>
        <v>41448</v>
      </c>
      <c r="F83" t="str">
        <f>VLOOKUP($A83,Table1014161817[],7,0)</f>
        <v>Male</v>
      </c>
      <c r="G83" s="63">
        <f>VLOOKUP($A83,Table1014161817[],9,0)</f>
        <v>3</v>
      </c>
    </row>
    <row r="84" spans="1:7" x14ac:dyDescent="0.35">
      <c r="A84" t="s">
        <v>26</v>
      </c>
      <c r="B84" t="str">
        <f>VLOOKUP(A84,Table1014161817[],2,0)</f>
        <v>Jane Smith</v>
      </c>
      <c r="C84" t="str">
        <f>VLOOKUP(A84,Table1014161817[],4,0)</f>
        <v>Australia</v>
      </c>
      <c r="D84">
        <f>VLOOKUP($A84,Table1014161817[],5,0)</f>
        <v>41341</v>
      </c>
      <c r="E84">
        <f>VLOOKUP($A84,Table1014161817[],6,0)</f>
        <v>41341</v>
      </c>
      <c r="F84" t="str">
        <f>VLOOKUP($A84,Table1014161817[],7,0)</f>
        <v>Male</v>
      </c>
      <c r="G84" s="63">
        <f>VLOOKUP($A84,Table1014161817[],9,0)</f>
        <v>1</v>
      </c>
    </row>
    <row r="85" spans="1:7" x14ac:dyDescent="0.35">
      <c r="A85" t="s">
        <v>60</v>
      </c>
      <c r="B85" t="str">
        <f>VLOOKUP(A85,Table1014161817[],2,0)</f>
        <v>Sam Wilson</v>
      </c>
      <c r="C85" t="str">
        <f>VLOOKUP(A85,Table1014161817[],4,0)</f>
        <v>India</v>
      </c>
      <c r="D85">
        <f>VLOOKUP($A85,Table1014161817[],5,0)</f>
        <v>39423</v>
      </c>
      <c r="E85">
        <f>VLOOKUP($A85,Table1014161817[],6,0)</f>
        <v>39423</v>
      </c>
      <c r="F85" t="str">
        <f>VLOOKUP($A85,Table1014161817[],7,0)</f>
        <v>Male</v>
      </c>
      <c r="G85" s="63">
        <f>VLOOKUP($A85,Table1014161817[],9,0)</f>
        <v>5</v>
      </c>
    </row>
    <row r="86" spans="1:7" x14ac:dyDescent="0.35">
      <c r="A86" t="s">
        <v>141</v>
      </c>
      <c r="B86" t="str">
        <f>VLOOKUP(A86,Table1014161817[],2,0)</f>
        <v>Eve Adams</v>
      </c>
      <c r="C86" t="str">
        <f>VLOOKUP(A86,Table1014161817[],4,0)</f>
        <v>USA</v>
      </c>
      <c r="D86">
        <f>VLOOKUP($A86,Table1014161817[],5,0)</f>
        <v>38678</v>
      </c>
      <c r="E86">
        <f>VLOOKUP($A86,Table1014161817[],6,0)</f>
        <v>38678</v>
      </c>
      <c r="F86" t="str">
        <f>VLOOKUP($A86,Table1014161817[],7,0)</f>
        <v>Male</v>
      </c>
      <c r="G86" s="63">
        <f>VLOOKUP($A86,Table1014161817[],9,0)</f>
        <v>3</v>
      </c>
    </row>
    <row r="87" spans="1:7" x14ac:dyDescent="0.35">
      <c r="A87" t="s">
        <v>31</v>
      </c>
      <c r="B87" t="str">
        <f>VLOOKUP(A87,Table1014161817[],2,0)</f>
        <v>Eve Adams</v>
      </c>
      <c r="C87" t="str">
        <f>VLOOKUP(A87,Table1014161817[],4,0)</f>
        <v>India</v>
      </c>
      <c r="D87">
        <f>VLOOKUP($A87,Table1014161817[],5,0)</f>
        <v>38333</v>
      </c>
      <c r="E87">
        <f>VLOOKUP($A87,Table1014161817[],6,0)</f>
        <v>38333</v>
      </c>
      <c r="F87" t="str">
        <f>VLOOKUP($A87,Table1014161817[],7,0)</f>
        <v>Male</v>
      </c>
      <c r="G87" s="63">
        <f>VLOOKUP($A87,Table1014161817[],9,0)</f>
        <v>5</v>
      </c>
    </row>
    <row r="88" spans="1:7" x14ac:dyDescent="0.35">
      <c r="A88" t="s">
        <v>72</v>
      </c>
      <c r="B88" t="str">
        <f>VLOOKUP(A88,Table1014161817[],2,0)</f>
        <v>Eve Adams</v>
      </c>
      <c r="C88" t="str">
        <f>VLOOKUP(A88,Table1014161817[],4,0)</f>
        <v>USA</v>
      </c>
      <c r="D88">
        <f>VLOOKUP($A88,Table1014161817[],5,0)</f>
        <v>36541</v>
      </c>
      <c r="E88">
        <f>VLOOKUP($A88,Table1014161817[],6,0)</f>
        <v>36541</v>
      </c>
      <c r="F88" t="str">
        <f>VLOOKUP($A88,Table1014161817[],7,0)</f>
        <v>Male</v>
      </c>
      <c r="G88" s="63">
        <f>VLOOKUP($A88,Table1014161817[],9,0)</f>
        <v>2</v>
      </c>
    </row>
    <row r="89" spans="1:7" x14ac:dyDescent="0.35">
      <c r="A89" t="s">
        <v>32</v>
      </c>
      <c r="B89" t="str">
        <f>VLOOKUP(A89,Table1014161817[],2,0)</f>
        <v>Alice Brown</v>
      </c>
      <c r="C89" t="str">
        <f>VLOOKUP(A89,Table1014161817[],4,0)</f>
        <v>UK</v>
      </c>
      <c r="D89">
        <f>VLOOKUP($A89,Table1014161817[],5,0)</f>
        <v>36515</v>
      </c>
      <c r="E89">
        <f>VLOOKUP($A89,Table1014161817[],6,0)</f>
        <v>36515</v>
      </c>
      <c r="F89" t="str">
        <f>VLOOKUP($A89,Table1014161817[],7,0)</f>
        <v>Male</v>
      </c>
      <c r="G89" s="63">
        <f>VLOOKUP($A89,Table1014161817[],9,0)</f>
        <v>3</v>
      </c>
    </row>
    <row r="90" spans="1:7" x14ac:dyDescent="0.35">
      <c r="A90" t="s">
        <v>16</v>
      </c>
      <c r="B90" t="str">
        <f>VLOOKUP(A90,Table1014161817[],2,0)</f>
        <v>Chris Lee</v>
      </c>
      <c r="C90" t="str">
        <f>VLOOKUP(A90,Table1014161817[],4,0)</f>
        <v>Unknown</v>
      </c>
      <c r="D90">
        <f>VLOOKUP($A90,Table1014161817[],5,0)</f>
        <v>35364</v>
      </c>
      <c r="E90">
        <f>VLOOKUP($A90,Table1014161817[],6,0)</f>
        <v>35364</v>
      </c>
      <c r="F90" t="str">
        <f>VLOOKUP($A90,Table1014161817[],7,0)</f>
        <v>Male</v>
      </c>
      <c r="G90" s="63">
        <f>VLOOKUP($A90,Table1014161817[],9,0)</f>
        <v>2</v>
      </c>
    </row>
    <row r="91" spans="1:7" x14ac:dyDescent="0.35">
      <c r="A91" t="s">
        <v>52</v>
      </c>
      <c r="B91" t="str">
        <f>VLOOKUP(A91,Table1014161817[],2,0)</f>
        <v>Alice Brown</v>
      </c>
      <c r="C91" t="str">
        <f>VLOOKUP(A91,Table1014161817[],4,0)</f>
        <v>Australia</v>
      </c>
      <c r="D91">
        <f>VLOOKUP($A91,Table1014161817[],5,0)</f>
        <v>35326</v>
      </c>
      <c r="E91">
        <f>VLOOKUP($A91,Table1014161817[],6,0)</f>
        <v>35326</v>
      </c>
      <c r="F91" t="str">
        <f>VLOOKUP($A91,Table1014161817[],7,0)</f>
        <v>Female</v>
      </c>
      <c r="G91" s="63">
        <f>VLOOKUP($A91,Table1014161817[],9,0)</f>
        <v>3</v>
      </c>
    </row>
    <row r="92" spans="1:7" x14ac:dyDescent="0.35">
      <c r="A92" t="s">
        <v>94</v>
      </c>
      <c r="B92" t="str">
        <f>VLOOKUP(A92,Table1014161817[],2,0)</f>
        <v>Chris Lee</v>
      </c>
      <c r="C92" t="str">
        <f>VLOOKUP(A92,Table1014161817[],4,0)</f>
        <v>Unknown</v>
      </c>
      <c r="D92">
        <f>VLOOKUP($A92,Table1014161817[],5,0)</f>
        <v>35163</v>
      </c>
      <c r="E92">
        <f>VLOOKUP($A92,Table1014161817[],6,0)</f>
        <v>35163</v>
      </c>
      <c r="F92" t="str">
        <f>VLOOKUP($A92,Table1014161817[],7,0)</f>
        <v>Male</v>
      </c>
      <c r="G92" s="63">
        <f>VLOOKUP($A92,Table1014161817[],9,0)</f>
        <v>5</v>
      </c>
    </row>
    <row r="93" spans="1:7" x14ac:dyDescent="0.35">
      <c r="A93" t="s">
        <v>50</v>
      </c>
      <c r="B93" t="str">
        <f>VLOOKUP(A93,Table1014161817[],2,0)</f>
        <v>Alice Brown</v>
      </c>
      <c r="C93" t="str">
        <f>VLOOKUP(A93,Table1014161817[],4,0)</f>
        <v>Germany</v>
      </c>
      <c r="D93">
        <f>VLOOKUP($A93,Table1014161817[],5,0)</f>
        <v>33956</v>
      </c>
      <c r="E93">
        <f>VLOOKUP($A93,Table1014161817[],6,0)</f>
        <v>33956</v>
      </c>
      <c r="F93" t="str">
        <f>VLOOKUP($A93,Table1014161817[],7,0)</f>
        <v>Male</v>
      </c>
      <c r="G93" s="63">
        <f>VLOOKUP($A93,Table1014161817[],9,0)</f>
        <v>3</v>
      </c>
    </row>
    <row r="94" spans="1:7" x14ac:dyDescent="0.35">
      <c r="A94" t="s">
        <v>95</v>
      </c>
      <c r="B94" t="str">
        <f>VLOOKUP(A94,Table1014161817[],2,0)</f>
        <v>Chris Lee</v>
      </c>
      <c r="C94" t="str">
        <f>VLOOKUP(A94,Table1014161817[],4,0)</f>
        <v>India</v>
      </c>
      <c r="D94">
        <f>VLOOKUP($A94,Table1014161817[],5,0)</f>
        <v>33483</v>
      </c>
      <c r="E94">
        <f>VLOOKUP($A94,Table1014161817[],6,0)</f>
        <v>33483</v>
      </c>
      <c r="F94" t="str">
        <f>VLOOKUP($A94,Table1014161817[],7,0)</f>
        <v>Male</v>
      </c>
      <c r="G94" s="63">
        <f>VLOOKUP($A94,Table1014161817[],9,0)</f>
        <v>4</v>
      </c>
    </row>
    <row r="95" spans="1:7" x14ac:dyDescent="0.35">
      <c r="A95" t="s">
        <v>74</v>
      </c>
      <c r="B95" t="str">
        <f>VLOOKUP(A95,Table1014161817[],2,0)</f>
        <v>Sam Wilson</v>
      </c>
      <c r="C95" t="str">
        <f>VLOOKUP(A95,Table1014161817[],4,0)</f>
        <v>India</v>
      </c>
      <c r="D95">
        <f>VLOOKUP($A95,Table1014161817[],5,0)</f>
        <v>33468</v>
      </c>
      <c r="E95">
        <f>VLOOKUP($A95,Table1014161817[],6,0)</f>
        <v>33468</v>
      </c>
      <c r="F95" t="str">
        <f>VLOOKUP($A95,Table1014161817[],7,0)</f>
        <v>Male</v>
      </c>
      <c r="G95" s="63">
        <f>VLOOKUP($A95,Table1014161817[],9,0)</f>
        <v>4</v>
      </c>
    </row>
    <row r="96" spans="1:7" x14ac:dyDescent="0.35">
      <c r="A96" t="s">
        <v>103</v>
      </c>
      <c r="B96" t="str">
        <f>VLOOKUP(A96,Table1014161817[],2,0)</f>
        <v>Bob Johnson</v>
      </c>
      <c r="C96" t="str">
        <f>VLOOKUP(A96,Table1014161817[],4,0)</f>
        <v>India</v>
      </c>
      <c r="D96">
        <f>VLOOKUP($A96,Table1014161817[],5,0)</f>
        <v>33264</v>
      </c>
      <c r="E96">
        <f>VLOOKUP($A96,Table1014161817[],6,0)</f>
        <v>33264</v>
      </c>
      <c r="F96" t="str">
        <f>VLOOKUP($A96,Table1014161817[],7,0)</f>
        <v>Female</v>
      </c>
      <c r="G96" s="63">
        <f>VLOOKUP($A96,Table1014161817[],9,0)</f>
        <v>3</v>
      </c>
    </row>
    <row r="97" spans="1:7" x14ac:dyDescent="0.35">
      <c r="A97" t="s">
        <v>119</v>
      </c>
      <c r="B97" t="str">
        <f>VLOOKUP(A97,Table1014161817[],2,0)</f>
        <v>Chris Lee</v>
      </c>
      <c r="C97" t="str">
        <f>VLOOKUP(A97,Table1014161817[],4,0)</f>
        <v>India</v>
      </c>
      <c r="D97">
        <f>VLOOKUP($A97,Table1014161817[],5,0)</f>
        <v>31293</v>
      </c>
      <c r="E97">
        <f>VLOOKUP($A97,Table1014161817[],6,0)</f>
        <v>31293</v>
      </c>
      <c r="F97" t="str">
        <f>VLOOKUP($A97,Table1014161817[],7,0)</f>
        <v>Female</v>
      </c>
      <c r="G97" s="63">
        <f>VLOOKUP($A97,Table1014161817[],9,0)</f>
        <v>2</v>
      </c>
    </row>
    <row r="98" spans="1:7" x14ac:dyDescent="0.35">
      <c r="A98" t="s">
        <v>59</v>
      </c>
      <c r="B98" t="str">
        <f>VLOOKUP(A98,Table1014161817[],2,0)</f>
        <v>Chris Lee</v>
      </c>
      <c r="C98" t="str">
        <f>VLOOKUP(A98,Table1014161817[],4,0)</f>
        <v>Unknown</v>
      </c>
      <c r="D98">
        <f>VLOOKUP($A98,Table1014161817[],5,0)</f>
        <v>30686</v>
      </c>
      <c r="E98">
        <f>VLOOKUP($A98,Table1014161817[],6,0)</f>
        <v>30686</v>
      </c>
      <c r="F98" t="str">
        <f>VLOOKUP($A98,Table1014161817[],7,0)</f>
        <v>Female</v>
      </c>
      <c r="G98" s="63">
        <f>VLOOKUP($A98,Table1014161817[],9,0)</f>
        <v>2</v>
      </c>
    </row>
    <row r="99" spans="1:7" x14ac:dyDescent="0.35">
      <c r="A99" t="s">
        <v>137</v>
      </c>
      <c r="B99" t="str">
        <f>VLOOKUP(A99,Table1014161817[],2,0)</f>
        <v>Chris Lee</v>
      </c>
      <c r="C99" t="str">
        <f>VLOOKUP(A99,Table1014161817[],4,0)</f>
        <v>USA</v>
      </c>
      <c r="D99">
        <f>VLOOKUP($A99,Table1014161817[],5,0)</f>
        <v>30402</v>
      </c>
      <c r="E99">
        <f>VLOOKUP($A99,Table1014161817[],6,0)</f>
        <v>30402</v>
      </c>
      <c r="F99" t="str">
        <f>VLOOKUP($A99,Table1014161817[],7,0)</f>
        <v>Male</v>
      </c>
      <c r="G99" s="63">
        <f>VLOOKUP($A99,Table1014161817[],9,0)</f>
        <v>1</v>
      </c>
    </row>
    <row r="100" spans="1:7" x14ac:dyDescent="0.35">
      <c r="A100" t="s">
        <v>61</v>
      </c>
      <c r="B100" t="str">
        <f>VLOOKUP(A100,Table1014161817[],2,0)</f>
        <v>Eve Adams</v>
      </c>
      <c r="C100" t="str">
        <f>VLOOKUP(A100,Table1014161817[],4,0)</f>
        <v>Unknown</v>
      </c>
      <c r="D100">
        <f>VLOOKUP($A100,Table1014161817[],5,0)</f>
        <v>30280</v>
      </c>
      <c r="E100">
        <f>VLOOKUP($A100,Table1014161817[],6,0)</f>
        <v>30280</v>
      </c>
      <c r="F100" t="str">
        <f>VLOOKUP($A100,Table1014161817[],7,0)</f>
        <v>Male</v>
      </c>
      <c r="G100" s="63">
        <f>VLOOKUP($A100,Table1014161817[],9,0)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3833E-B3B7-488F-861D-568C56416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TASK1</vt:lpstr>
      <vt:lpstr>TASK2</vt:lpstr>
      <vt:lpstr>TASK3</vt:lpstr>
      <vt:lpstr>TASK4</vt:lpstr>
      <vt:lpstr>TASK5</vt:lpstr>
      <vt:lpstr>TASK6</vt:lpstr>
      <vt:lpstr>TASK6 cleaning</vt:lpstr>
      <vt:lpstr>TASK6 Cleaned</vt:lpstr>
      <vt:lpstr>Sheet2</vt:lpstr>
      <vt:lpstr>TASK8</vt:lpstr>
      <vt:lpstr>TASK9</vt:lpstr>
      <vt:lpstr>TASK10</vt:lpstr>
      <vt:lpstr>TASK11</vt:lpstr>
      <vt:lpstr>TASK12</vt:lpstr>
      <vt:lpstr>TASK13_P</vt:lpstr>
      <vt:lpstr>TASK13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2026-01-18T16:23:32Z</dcterms:modified>
</cp:coreProperties>
</file>